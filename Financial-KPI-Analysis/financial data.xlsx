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f8591ceeb409ff/Desktop/NovaFlow_Financial_KPI_Analysis/Excel/"/>
    </mc:Choice>
  </mc:AlternateContent>
  <xr:revisionPtr revIDLastSave="1" documentId="14_{3A5B072F-7630-4727-ACD7-DD45EA218DB3}" xr6:coauthVersionLast="47" xr6:coauthVersionMax="47" xr10:uidLastSave="{F5ADF167-32D3-4202-BC21-E11CD4A19EB2}"/>
  <bookViews>
    <workbookView xWindow="-108" yWindow="-108" windowWidth="23256" windowHeight="12456" xr2:uid="{EBA2441D-8FEE-46CD-9714-FD5D62519207}"/>
  </bookViews>
  <sheets>
    <sheet name="customers" sheetId="2" r:id="rId1"/>
    <sheet name="revenue" sheetId="3" r:id="rId2"/>
    <sheet name="expenses" sheetId="4" r:id="rId3"/>
    <sheet name="marketing" sheetId="5" r:id="rId4"/>
    <sheet name="KPI_cal" sheetId="6" r:id="rId5"/>
    <sheet name="cohort analysis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2" i="6"/>
  <c r="K3" i="6"/>
  <c r="K4" i="6"/>
  <c r="K5" i="6"/>
  <c r="K6" i="6"/>
  <c r="K7" i="6"/>
  <c r="K8" i="6"/>
  <c r="K9" i="6"/>
  <c r="K10" i="6"/>
  <c r="K11" i="6"/>
  <c r="K12" i="6"/>
  <c r="K13" i="6"/>
  <c r="K2" i="6"/>
  <c r="G3" i="6"/>
  <c r="G4" i="6"/>
  <c r="G5" i="6"/>
  <c r="G6" i="6"/>
  <c r="G7" i="6"/>
  <c r="G8" i="6"/>
  <c r="G9" i="6"/>
  <c r="G10" i="6"/>
  <c r="G11" i="6"/>
  <c r="G12" i="6"/>
  <c r="G13" i="6"/>
  <c r="G2" i="6"/>
  <c r="F3" i="6"/>
  <c r="F4" i="6"/>
  <c r="F5" i="6"/>
  <c r="F6" i="6"/>
  <c r="F7" i="6"/>
  <c r="F8" i="6"/>
  <c r="F9" i="6"/>
  <c r="F10" i="6"/>
  <c r="F11" i="6"/>
  <c r="F12" i="6"/>
  <c r="F13" i="6"/>
  <c r="F2" i="6"/>
  <c r="E3" i="6"/>
  <c r="E4" i="6"/>
  <c r="E5" i="6"/>
  <c r="E6" i="6"/>
  <c r="E7" i="6"/>
  <c r="E8" i="6"/>
  <c r="E9" i="6"/>
  <c r="E10" i="6"/>
  <c r="E11" i="6"/>
  <c r="E12" i="6"/>
  <c r="E13" i="6"/>
  <c r="E2" i="6"/>
  <c r="C3" i="6"/>
  <c r="C4" i="6"/>
  <c r="C5" i="6"/>
  <c r="C6" i="6"/>
  <c r="C7" i="6"/>
  <c r="C8" i="6"/>
  <c r="C9" i="6"/>
  <c r="C10" i="6"/>
  <c r="C11" i="6"/>
  <c r="C12" i="6"/>
  <c r="C13" i="6"/>
  <c r="C2" i="6"/>
  <c r="B3" i="6"/>
  <c r="B4" i="6"/>
  <c r="B5" i="6"/>
  <c r="B6" i="6"/>
  <c r="B7" i="6"/>
  <c r="B8" i="6"/>
  <c r="B9" i="6"/>
  <c r="B10" i="6"/>
  <c r="B11" i="6"/>
  <c r="B12" i="6"/>
  <c r="B13" i="6"/>
  <c r="B2" i="6"/>
  <c r="G3" i="5"/>
  <c r="G4" i="5"/>
  <c r="G5" i="5"/>
  <c r="G6" i="5"/>
  <c r="G7" i="5"/>
  <c r="G8" i="5"/>
  <c r="G9" i="5"/>
  <c r="G10" i="5"/>
  <c r="G11" i="5"/>
  <c r="G12" i="5"/>
  <c r="G13" i="5"/>
  <c r="G2" i="5"/>
  <c r="G3" i="4"/>
  <c r="G4" i="4"/>
  <c r="G5" i="4"/>
  <c r="G6" i="4"/>
  <c r="G7" i="4"/>
  <c r="G8" i="4"/>
  <c r="G9" i="4"/>
  <c r="G10" i="4"/>
  <c r="G11" i="4"/>
  <c r="G12" i="4"/>
  <c r="G13" i="4"/>
  <c r="G2" i="4"/>
  <c r="E4" i="3"/>
  <c r="E5" i="3"/>
  <c r="E6" i="3"/>
  <c r="E7" i="3"/>
  <c r="E8" i="3"/>
  <c r="E9" i="3"/>
  <c r="E10" i="3"/>
  <c r="E11" i="3"/>
  <c r="E12" i="3"/>
  <c r="E13" i="3"/>
  <c r="E3" i="3"/>
  <c r="D2" i="6" l="1"/>
  <c r="D6" i="6"/>
  <c r="D13" i="6"/>
  <c r="D9" i="6"/>
  <c r="D12" i="6"/>
  <c r="D8" i="6"/>
  <c r="D4" i="6"/>
  <c r="D10" i="6"/>
  <c r="D5" i="6"/>
  <c r="D11" i="6"/>
  <c r="D7" i="6"/>
  <c r="D3" i="6"/>
</calcChain>
</file>

<file path=xl/sharedStrings.xml><?xml version="1.0" encoding="utf-8"?>
<sst xmlns="http://schemas.openxmlformats.org/spreadsheetml/2006/main" count="381" uniqueCount="164">
  <si>
    <t>Customer_ID</t>
  </si>
  <si>
    <t>Acquisition_Date</t>
  </si>
  <si>
    <t>Monthly_Revenue</t>
  </si>
  <si>
    <t>Status</t>
  </si>
  <si>
    <t>Churn_Date</t>
  </si>
  <si>
    <t>Acquisition_Channel</t>
  </si>
  <si>
    <t>Cohort_Month</t>
  </si>
  <si>
    <t>C001</t>
  </si>
  <si>
    <t>Google Ads</t>
  </si>
  <si>
    <t>Active</t>
  </si>
  <si>
    <t>C002</t>
  </si>
  <si>
    <t>Referral</t>
  </si>
  <si>
    <t>C003</t>
  </si>
  <si>
    <t>LinkedIn</t>
  </si>
  <si>
    <t>C004</t>
  </si>
  <si>
    <t>Organic</t>
  </si>
  <si>
    <t>C005</t>
  </si>
  <si>
    <t>Meta Ads</t>
  </si>
  <si>
    <t>C006</t>
  </si>
  <si>
    <t>C007</t>
  </si>
  <si>
    <t>C008</t>
  </si>
  <si>
    <t>C009</t>
  </si>
  <si>
    <t>C010</t>
  </si>
  <si>
    <t>Month</t>
  </si>
  <si>
    <t>New Customers</t>
  </si>
  <si>
    <t>Active Customers</t>
  </si>
  <si>
    <t>Monthly Revenue</t>
  </si>
  <si>
    <t>Growth</t>
  </si>
  <si>
    <t>N/A</t>
  </si>
  <si>
    <t>Marketing</t>
  </si>
  <si>
    <t>Salaries</t>
  </si>
  <si>
    <t>Infrastructure</t>
  </si>
  <si>
    <t>Software</t>
  </si>
  <si>
    <t>Operations</t>
  </si>
  <si>
    <t>Total Expenses</t>
  </si>
  <si>
    <t>Other</t>
  </si>
  <si>
    <t>Total Marketing</t>
  </si>
  <si>
    <t>Revenue</t>
  </si>
  <si>
    <t>Burn Rate</t>
  </si>
  <si>
    <t>CAC</t>
  </si>
  <si>
    <t>ARPU</t>
  </si>
  <si>
    <t>Run Rate</t>
  </si>
  <si>
    <t>Gross Margin %</t>
  </si>
  <si>
    <t>Monthly Churn %</t>
  </si>
  <si>
    <t>LTV</t>
  </si>
  <si>
    <t>LTV:CAC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</si>
  <si>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</si>
  <si>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</si>
  <si>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</si>
  <si>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</si>
  <si>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</si>
  <si>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</si>
  <si>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</si>
  <si>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</si>
  <si>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</si>
  <si>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</si>
  <si>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</si>
  <si>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</si>
  <si>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</si>
  <si>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</si>
  <si>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</si>
  <si>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</si>
  <si>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</si>
  <si>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</si>
  <si>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</si>
  <si>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</si>
  <si>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</si>
  <si>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</si>
  <si>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</si>
  <si>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</si>
  <si>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</si>
  <si>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</si>
  <si>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</si>
  <si>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</si>
  <si>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</si>
  <si>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</si>
  <si>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</si>
  <si>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</si>
  <si>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</si>
  <si>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</si>
  <si>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</si>
  <si>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</si>
  <si>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</si>
  <si>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</si>
  <si>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</si>
  <si>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</si>
  <si>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</si>
  <si>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</si>
  <si>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</si>
  <si>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</si>
  <si>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</si>
  <si>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</si>
  <si>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</si>
  <si>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</si>
  <si>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</si>
  <si>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</si>
  <si>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</si>
  <si>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</si>
  <si>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</si>
  <si>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</si>
  <si>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</si>
  <si>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</si>
  <si>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</si>
  <si>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</si>
  <si>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</si>
  <si>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</si>
  <si>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</si>
  <si>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</si>
  <si>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</si>
  <si>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</si>
  <si>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</si>
  <si>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</si>
  <si>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</si>
  <si>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</si>
  <si>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</si>
  <si>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</si>
  <si>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</si>
  <si>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</si>
  <si>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</si>
  <si>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</si>
  <si>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</si>
  <si>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</si>
  <si>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</si>
  <si>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</si>
  <si>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</si>
  <si>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</si>
  <si>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</si>
  <si>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</si>
  <si>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</si>
  <si>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</si>
  <si>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</si>
  <si>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</si>
  <si>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</si>
  <si>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</si>
  <si>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</si>
  <si>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</si>
  <si>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</si>
  <si>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</si>
  <si>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</si>
  <si>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</si>
  <si>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</si>
  <si>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</si>
  <si>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</si>
  <si>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</si>
  <si>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</si>
  <si>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</si>
  <si>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</si>
  <si>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</si>
  <si>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</si>
  <si>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</si>
  <si>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</si>
  <si>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Cohort Month</t>
  </si>
  <si>
    <t>Month 0</t>
  </si>
  <si>
    <t>Month 1</t>
  </si>
  <si>
    <t>Month 2</t>
  </si>
  <si>
    <t>Month 3</t>
  </si>
  <si>
    <t>Month 4</t>
  </si>
  <si>
    <t>Month 6</t>
  </si>
  <si>
    <t>Month 7</t>
  </si>
  <si>
    <t>Month 8</t>
  </si>
  <si>
    <t>Month 9</t>
  </si>
  <si>
    <t>Month 10</t>
  </si>
  <si>
    <t>Month 11</t>
  </si>
  <si>
    <t>Month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</si>
</sst>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164" formatCode="&quot;₹&quot;\ #,##0.00"/>
    <numFmt numFmtId="165" formatCode="&quot;₹&quot;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17" fontId="0" fillId="0" borderId="0" xfId="0" applyNumberFormat="1"/>
    <xf numFmtId="17" fontId="0" fillId="0" borderId="0" xfId="0" applyNumberFormat="1" applyAlignment="1">
      <alignment vertical="center" wrapText="1"/>
    </xf>
    <xf numFmtId="164" fontId="0" fillId="0" borderId="0" xfId="0" applyNumberFormat="1"/>
    <xf numFmtId="6" fontId="0" fillId="0" borderId="0" xfId="0" applyNumberFormat="1" applyAlignment="1">
      <alignment horizontal="right" vertical="center" wrapText="1"/>
    </xf>
    <xf numFmtId="10" fontId="1" fillId="0" borderId="0" xfId="0" applyNumberFormat="1" applyFont="1" applyAlignment="1">
      <alignment horizontal="right" vertical="center" wrapText="1"/>
    </xf>
    <xf numFmtId="10" fontId="0" fillId="0" borderId="0" xfId="0" applyNumberFormat="1"/>
    <xf numFmtId="165" fontId="1" fillId="0" borderId="0" xfId="0" applyNumberFormat="1" applyFont="1" applyAlignment="1">
      <alignment horizontal="right" vertical="center" wrapText="1"/>
    </xf>
    <xf numFmtId="165" fontId="0" fillId="0" borderId="0" xfId="0" applyNumberFormat="1" applyAlignment="1">
      <alignment horizontal="right" vertical="center" wrapText="1"/>
    </xf>
    <xf numFmtId="165" fontId="0" fillId="0" borderId="0" xfId="0" applyNumberFormat="1"/>
    <xf numFmtId="165" fontId="1" fillId="0" borderId="0" xfId="0" applyNumberFormat="1" applyFont="1"/>
    <xf numFmtId="0" fontId="1" fillId="0" borderId="0" xfId="0" applyFont="1" applyAlignment="1">
      <alignment vertical="center" wrapText="1"/>
    </xf>
    <xf numFmtId="165" fontId="1" fillId="0" borderId="0" xfId="0" applyNumberFormat="1" applyFont="1" applyAlignment="1">
      <alignment vertical="center" wrapText="1"/>
    </xf>
    <xf numFmtId="9" fontId="0" fillId="0" borderId="0" xfId="0" applyNumberFormat="1"/>
  </cellXfs>
  <cellStyles count="1">
    <cellStyle name="Normal" xfId="0" builtinId="0"/>
  </cellStyles>
  <dxfs count="7">
    <dxf>
      <numFmt numFmtId="22" formatCode="mmm/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&quot;₹&quot;\ #,##0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85B335-25EC-490C-82B0-C0DDB82E8F8C}" name="Table3" displayName="Table3" ref="A1:G116" totalsRowShown="0">
  <autoFilter ref="A1:G116" xr:uid="{6D85B335-25EC-490C-82B0-C0DDB82E8F8C}"/>
  <tableColumns count="7">
    <tableColumn id="1" xr3:uid="{65BBE3B7-94FE-4E2D-9BED-B23179B580AE}" name="Customer_ID" dataDxfId="6"/>
    <tableColumn id="2" xr3:uid="{13175927-8C77-4342-8A9D-68A41501C46F}" name="Acquisition_Date" dataDxfId="5"/>
    <tableColumn id="3" xr3:uid="{4139E6F1-697B-443D-9DC2-5DF4F6BEDF52}" name="Acquisition_Channel" dataDxfId="4"/>
    <tableColumn id="4" xr3:uid="{CF45CB0A-DCF7-4981-9752-22BFDC8DEAC1}" name="Monthly_Revenue" dataDxfId="3"/>
    <tableColumn id="5" xr3:uid="{050C081A-4B97-45FD-80A2-62400461878D}" name="Status" dataDxfId="2"/>
    <tableColumn id="6" xr3:uid="{93A660A6-C782-4487-A70C-3389001C7EBC}" name="Churn_Date" dataDxfId="1"/>
    <tableColumn id="7" xr3:uid="{2CB91FCC-8314-411B-8F0C-169E6A2C732E}" name="Cohort_Mon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41727-4BA0-48EB-9199-F06F4B709350}">
  <dimension ref="A1:G116"/>
  <sheetViews>
    <sheetView tabSelected="1" topLeftCell="A77" workbookViewId="0">
      <selection activeCell="H1" sqref="H1"/>
    </sheetView>
  </sheetViews>
  <sheetFormatPr defaultRowHeight="14.4" x14ac:dyDescent="0.3"/>
  <cols>
    <col min="1" max="1" width="15.88671875" customWidth="1"/>
    <col min="2" max="2" width="21.5546875" style="6" customWidth="1"/>
    <col min="3" max="3" width="24.77734375" customWidth="1"/>
    <col min="4" max="4" width="25.21875" style="16" customWidth="1"/>
    <col min="5" max="5" width="10.44140625" customWidth="1"/>
    <col min="6" max="6" width="16" style="6" customWidth="1"/>
    <col min="7" max="7" width="18.44140625" customWidth="1"/>
  </cols>
  <sheetData>
    <row r="1" spans="1:7" s="1" customFormat="1" x14ac:dyDescent="0.3">
      <c r="A1" t="s">
        <v>0</v>
      </c>
      <c r="B1" t="s">
        <v>1</v>
      </c>
      <c r="C1" t="s">
        <v>5</v>
      </c>
      <c r="D1" s="16" t="s">
        <v>2</v>
      </c>
      <c r="E1" t="s">
        <v>3</v>
      </c>
      <c r="F1" t="s">
        <v>4</v>
      </c>
      <c r="G1" t="s">
        <v>6</v>
      </c>
    </row>
    <row r="2" spans="1:7" x14ac:dyDescent="0.3">
      <c r="A2" t="s">
        <v>7</v>
      </c>
      <c r="B2" s="6">
        <v>45662</v>
      </c>
      <c r="C2" t="s">
        <v>8</v>
      </c>
      <c r="D2" s="16">
        <v>2000</v>
      </c>
      <c r="E2" t="s">
        <v>9</v>
      </c>
      <c r="F2"/>
      <c r="G2" s="8">
        <v>45658</v>
      </c>
    </row>
    <row r="3" spans="1:7" x14ac:dyDescent="0.3">
      <c r="A3" t="s">
        <v>10</v>
      </c>
      <c r="B3" s="6">
        <v>45665</v>
      </c>
      <c r="C3" t="s">
        <v>11</v>
      </c>
      <c r="D3" s="16">
        <v>3000</v>
      </c>
      <c r="E3" t="s">
        <v>9</v>
      </c>
      <c r="F3"/>
      <c r="G3" s="8">
        <v>45658</v>
      </c>
    </row>
    <row r="4" spans="1:7" x14ac:dyDescent="0.3">
      <c r="A4" t="s">
        <v>12</v>
      </c>
      <c r="B4" s="6">
        <v>45669</v>
      </c>
      <c r="C4" t="s">
        <v>13</v>
      </c>
      <c r="D4" s="16">
        <v>2500</v>
      </c>
      <c r="F4" s="6">
        <v>45767</v>
      </c>
      <c r="G4" s="8">
        <v>45658</v>
      </c>
    </row>
    <row r="5" spans="1:7" x14ac:dyDescent="0.3">
      <c r="A5" t="s">
        <v>14</v>
      </c>
      <c r="B5" s="6">
        <v>45675</v>
      </c>
      <c r="C5" t="s">
        <v>15</v>
      </c>
      <c r="D5" s="16">
        <v>1800</v>
      </c>
      <c r="E5" t="s">
        <v>9</v>
      </c>
      <c r="F5"/>
      <c r="G5" s="8">
        <v>45658</v>
      </c>
    </row>
    <row r="6" spans="1:7" x14ac:dyDescent="0.3">
      <c r="A6" t="s">
        <v>16</v>
      </c>
      <c r="B6" s="6">
        <v>45682</v>
      </c>
      <c r="C6" t="s">
        <v>17</v>
      </c>
      <c r="D6" s="16">
        <v>2200</v>
      </c>
      <c r="E6" t="s">
        <v>9</v>
      </c>
      <c r="F6"/>
      <c r="G6" s="8">
        <v>45658</v>
      </c>
    </row>
    <row r="7" spans="1:7" x14ac:dyDescent="0.3">
      <c r="A7" t="s">
        <v>18</v>
      </c>
      <c r="B7" s="6">
        <v>45691</v>
      </c>
      <c r="C7" t="s">
        <v>8</v>
      </c>
      <c r="D7" s="16">
        <v>2500</v>
      </c>
      <c r="E7" t="s">
        <v>9</v>
      </c>
      <c r="F7"/>
      <c r="G7" s="8">
        <v>45689</v>
      </c>
    </row>
    <row r="8" spans="1:7" x14ac:dyDescent="0.3">
      <c r="A8" t="s">
        <v>19</v>
      </c>
      <c r="B8" s="6">
        <v>45698</v>
      </c>
      <c r="C8" t="s">
        <v>11</v>
      </c>
      <c r="D8" s="16">
        <v>3200</v>
      </c>
      <c r="E8" t="s">
        <v>9</v>
      </c>
      <c r="F8"/>
      <c r="G8" s="8">
        <v>45689</v>
      </c>
    </row>
    <row r="9" spans="1:7" x14ac:dyDescent="0.3">
      <c r="A9" t="s">
        <v>20</v>
      </c>
      <c r="B9" s="6">
        <v>45703</v>
      </c>
      <c r="C9" t="s">
        <v>13</v>
      </c>
      <c r="D9" s="16">
        <v>2800</v>
      </c>
      <c r="F9" s="6">
        <v>45807</v>
      </c>
      <c r="G9" s="8">
        <v>45689</v>
      </c>
    </row>
    <row r="10" spans="1:7" x14ac:dyDescent="0.3">
      <c r="A10" t="s">
        <v>21</v>
      </c>
      <c r="B10" s="6">
        <v>45708</v>
      </c>
      <c r="C10" t="s">
        <v>15</v>
      </c>
      <c r="D10" s="16">
        <v>2000</v>
      </c>
      <c r="E10" t="s">
        <v>9</v>
      </c>
      <c r="F10"/>
      <c r="G10" s="8">
        <v>45689</v>
      </c>
    </row>
    <row r="11" spans="1:7" x14ac:dyDescent="0.3">
      <c r="A11" t="s">
        <v>22</v>
      </c>
      <c r="B11" s="6">
        <v>45713</v>
      </c>
      <c r="C11" t="s">
        <v>17</v>
      </c>
      <c r="D11" s="16">
        <v>2400</v>
      </c>
      <c r="E11" t="s">
        <v>9</v>
      </c>
      <c r="F11"/>
      <c r="G11" s="8">
        <v>45689</v>
      </c>
    </row>
    <row r="12" spans="1:7" x14ac:dyDescent="0.3">
      <c r="A12" s="5" t="s">
        <v>46</v>
      </c>
      <c r="B12" s="7">
        <v>45727</v>
      </c>
      <c r="C12" s="5" t="s">
        <v>17</v>
      </c>
      <c r="D12" s="15">
        <v>2302</v>
      </c>
      <c r="E12" s="5" t="s">
        <v>9</v>
      </c>
      <c r="F12" s="7"/>
      <c r="G12" s="9">
        <v>45717</v>
      </c>
    </row>
    <row r="13" spans="1:7" x14ac:dyDescent="0.3">
      <c r="A13" s="5" t="s">
        <v>47</v>
      </c>
      <c r="B13" s="7">
        <v>45719</v>
      </c>
      <c r="C13" s="5" t="s">
        <v>15</v>
      </c>
      <c r="D13" s="15">
        <v>1748</v>
      </c>
      <c r="E13" s="5" t="s">
        <v>9</v>
      </c>
      <c r="F13" s="7"/>
      <c r="G13" s="9">
        <v>45717</v>
      </c>
    </row>
    <row r="14" spans="1:7" x14ac:dyDescent="0.3">
      <c r="A14" s="5" t="s">
        <v>48</v>
      </c>
      <c r="B14" s="7">
        <v>45718</v>
      </c>
      <c r="C14" s="5" t="s">
        <v>17</v>
      </c>
      <c r="D14" s="15">
        <v>2209</v>
      </c>
      <c r="E14" s="5"/>
      <c r="F14" s="7">
        <v>45833</v>
      </c>
      <c r="G14" s="9">
        <v>45717</v>
      </c>
    </row>
    <row r="15" spans="1:7" x14ac:dyDescent="0.3">
      <c r="A15" s="5" t="s">
        <v>49</v>
      </c>
      <c r="B15" s="7">
        <v>45730</v>
      </c>
      <c r="C15" s="5" t="s">
        <v>8</v>
      </c>
      <c r="D15" s="15">
        <v>2092</v>
      </c>
      <c r="E15" s="5" t="s">
        <v>9</v>
      </c>
      <c r="F15" s="7"/>
      <c r="G15" s="9">
        <v>45717</v>
      </c>
    </row>
    <row r="16" spans="1:7" x14ac:dyDescent="0.3">
      <c r="A16" s="5" t="s">
        <v>50</v>
      </c>
      <c r="B16" s="7">
        <v>45718</v>
      </c>
      <c r="C16" s="5" t="s">
        <v>15</v>
      </c>
      <c r="D16" s="15">
        <v>1763</v>
      </c>
      <c r="E16" s="5" t="s">
        <v>9</v>
      </c>
      <c r="F16" s="7"/>
      <c r="G16" s="9">
        <v>45717</v>
      </c>
    </row>
    <row r="17" spans="1:7" x14ac:dyDescent="0.3">
      <c r="A17" s="5" t="s">
        <v>51</v>
      </c>
      <c r="B17" s="7">
        <v>45737</v>
      </c>
      <c r="C17" s="5" t="s">
        <v>13</v>
      </c>
      <c r="D17" s="15">
        <v>2885</v>
      </c>
      <c r="E17" s="5"/>
      <c r="F17" s="7">
        <v>45871</v>
      </c>
      <c r="G17" s="9">
        <v>45717</v>
      </c>
    </row>
    <row r="18" spans="1:7" x14ac:dyDescent="0.3">
      <c r="A18" s="5" t="s">
        <v>52</v>
      </c>
      <c r="B18" s="7">
        <v>45760</v>
      </c>
      <c r="C18" s="5" t="s">
        <v>8</v>
      </c>
      <c r="D18" s="15">
        <v>2226</v>
      </c>
      <c r="E18" s="5"/>
      <c r="F18" s="7">
        <v>45837</v>
      </c>
      <c r="G18" s="9">
        <v>45748</v>
      </c>
    </row>
    <row r="19" spans="1:7" x14ac:dyDescent="0.3">
      <c r="A19" s="5" t="s">
        <v>53</v>
      </c>
      <c r="B19" s="7">
        <v>45757</v>
      </c>
      <c r="C19" s="5" t="s">
        <v>11</v>
      </c>
      <c r="D19" s="15">
        <v>3176</v>
      </c>
      <c r="E19" s="5"/>
      <c r="F19" s="7">
        <v>45856</v>
      </c>
      <c r="G19" s="9">
        <v>45748</v>
      </c>
    </row>
    <row r="20" spans="1:7" x14ac:dyDescent="0.3">
      <c r="A20" s="5" t="s">
        <v>54</v>
      </c>
      <c r="B20" s="7">
        <v>45765</v>
      </c>
      <c r="C20" s="5" t="s">
        <v>15</v>
      </c>
      <c r="D20" s="15">
        <v>1792</v>
      </c>
      <c r="E20" s="5"/>
      <c r="F20" s="7">
        <v>45898</v>
      </c>
      <c r="G20" s="9">
        <v>45748</v>
      </c>
    </row>
    <row r="21" spans="1:7" x14ac:dyDescent="0.3">
      <c r="A21" s="5" t="s">
        <v>55</v>
      </c>
      <c r="B21" s="7">
        <v>45768</v>
      </c>
      <c r="C21" s="5" t="s">
        <v>8</v>
      </c>
      <c r="D21" s="15">
        <v>2099</v>
      </c>
      <c r="E21" s="5" t="s">
        <v>9</v>
      </c>
      <c r="F21" s="7"/>
      <c r="G21" s="9">
        <v>45748</v>
      </c>
    </row>
    <row r="22" spans="1:7" x14ac:dyDescent="0.3">
      <c r="A22" s="5" t="s">
        <v>56</v>
      </c>
      <c r="B22" s="7">
        <v>45750</v>
      </c>
      <c r="C22" s="5" t="s">
        <v>13</v>
      </c>
      <c r="D22" s="15">
        <v>2716</v>
      </c>
      <c r="E22" s="5" t="s">
        <v>9</v>
      </c>
      <c r="F22" s="7"/>
      <c r="G22" s="9">
        <v>45748</v>
      </c>
    </row>
    <row r="23" spans="1:7" x14ac:dyDescent="0.3">
      <c r="A23" s="5" t="s">
        <v>57</v>
      </c>
      <c r="B23" s="7">
        <v>45769</v>
      </c>
      <c r="C23" s="5" t="s">
        <v>13</v>
      </c>
      <c r="D23" s="15">
        <v>2797</v>
      </c>
      <c r="E23" s="5" t="s">
        <v>9</v>
      </c>
      <c r="F23" s="7"/>
      <c r="G23" s="9">
        <v>45748</v>
      </c>
    </row>
    <row r="24" spans="1:7" x14ac:dyDescent="0.3">
      <c r="A24" s="5" t="s">
        <v>58</v>
      </c>
      <c r="B24" s="7">
        <v>45766</v>
      </c>
      <c r="C24" s="5" t="s">
        <v>17</v>
      </c>
      <c r="D24" s="15">
        <v>2285</v>
      </c>
      <c r="E24" s="5" t="s">
        <v>9</v>
      </c>
      <c r="F24" s="7"/>
      <c r="G24" s="9">
        <v>45748</v>
      </c>
    </row>
    <row r="25" spans="1:7" x14ac:dyDescent="0.3">
      <c r="A25" s="5" t="s">
        <v>59</v>
      </c>
      <c r="B25" s="7">
        <v>45803</v>
      </c>
      <c r="C25" s="5" t="s">
        <v>8</v>
      </c>
      <c r="D25" s="15">
        <v>2249</v>
      </c>
      <c r="E25" s="5"/>
      <c r="F25" s="7">
        <v>45901</v>
      </c>
      <c r="G25" s="9">
        <v>45778</v>
      </c>
    </row>
    <row r="26" spans="1:7" x14ac:dyDescent="0.3">
      <c r="A26" s="5" t="s">
        <v>60</v>
      </c>
      <c r="B26" s="7">
        <v>45794</v>
      </c>
      <c r="C26" s="5" t="s">
        <v>13</v>
      </c>
      <c r="D26" s="15">
        <v>2575</v>
      </c>
      <c r="E26" s="5" t="s">
        <v>9</v>
      </c>
      <c r="F26" s="7"/>
      <c r="G26" s="9">
        <v>45778</v>
      </c>
    </row>
    <row r="27" spans="1:7" x14ac:dyDescent="0.3">
      <c r="A27" s="5" t="s">
        <v>61</v>
      </c>
      <c r="B27" s="7">
        <v>45787</v>
      </c>
      <c r="C27" s="5" t="s">
        <v>13</v>
      </c>
      <c r="D27" s="15">
        <v>2437</v>
      </c>
      <c r="E27" s="5"/>
      <c r="F27" s="7">
        <v>45900</v>
      </c>
      <c r="G27" s="9">
        <v>45778</v>
      </c>
    </row>
    <row r="28" spans="1:7" x14ac:dyDescent="0.3">
      <c r="A28" s="5" t="s">
        <v>62</v>
      </c>
      <c r="B28" s="7">
        <v>45783</v>
      </c>
      <c r="C28" s="5" t="s">
        <v>15</v>
      </c>
      <c r="D28" s="15">
        <v>1777</v>
      </c>
      <c r="E28" s="5" t="s">
        <v>9</v>
      </c>
      <c r="F28" s="7"/>
      <c r="G28" s="9">
        <v>45778</v>
      </c>
    </row>
    <row r="29" spans="1:7" x14ac:dyDescent="0.3">
      <c r="A29" s="5" t="s">
        <v>63</v>
      </c>
      <c r="B29" s="7">
        <v>45791</v>
      </c>
      <c r="C29" s="5" t="s">
        <v>8</v>
      </c>
      <c r="D29" s="15">
        <v>2079</v>
      </c>
      <c r="E29" s="5" t="s">
        <v>9</v>
      </c>
      <c r="F29" s="7"/>
      <c r="G29" s="9">
        <v>45778</v>
      </c>
    </row>
    <row r="30" spans="1:7" x14ac:dyDescent="0.3">
      <c r="A30" s="5" t="s">
        <v>64</v>
      </c>
      <c r="B30" s="7">
        <v>45796</v>
      </c>
      <c r="C30" s="5" t="s">
        <v>15</v>
      </c>
      <c r="D30" s="15">
        <v>1860</v>
      </c>
      <c r="E30" s="5" t="s">
        <v>9</v>
      </c>
      <c r="F30" s="7"/>
      <c r="G30" s="9">
        <v>45778</v>
      </c>
    </row>
    <row r="31" spans="1:7" x14ac:dyDescent="0.3">
      <c r="A31" s="5" t="s">
        <v>65</v>
      </c>
      <c r="B31" s="7">
        <v>45789</v>
      </c>
      <c r="C31" s="5" t="s">
        <v>13</v>
      </c>
      <c r="D31" s="15">
        <v>2696</v>
      </c>
      <c r="E31" s="5" t="s">
        <v>9</v>
      </c>
      <c r="F31" s="7"/>
      <c r="G31" s="9">
        <v>45778</v>
      </c>
    </row>
    <row r="32" spans="1:7" x14ac:dyDescent="0.3">
      <c r="A32" s="5" t="s">
        <v>66</v>
      </c>
      <c r="B32" s="7">
        <v>45780</v>
      </c>
      <c r="C32" s="5" t="s">
        <v>15</v>
      </c>
      <c r="D32" s="15">
        <v>1838</v>
      </c>
      <c r="E32" s="5" t="s">
        <v>9</v>
      </c>
      <c r="F32" s="7"/>
      <c r="G32" s="9">
        <v>45778</v>
      </c>
    </row>
    <row r="33" spans="1:7" x14ac:dyDescent="0.3">
      <c r="A33" s="5" t="s">
        <v>67</v>
      </c>
      <c r="B33" s="7">
        <v>45830</v>
      </c>
      <c r="C33" s="5" t="s">
        <v>8</v>
      </c>
      <c r="D33" s="15">
        <v>2317</v>
      </c>
      <c r="E33" s="5" t="s">
        <v>9</v>
      </c>
      <c r="F33" s="7"/>
      <c r="G33" s="9">
        <v>45809</v>
      </c>
    </row>
    <row r="34" spans="1:7" x14ac:dyDescent="0.3">
      <c r="A34" s="5" t="s">
        <v>68</v>
      </c>
      <c r="B34" s="7">
        <v>45830</v>
      </c>
      <c r="C34" s="5" t="s">
        <v>15</v>
      </c>
      <c r="D34" s="15">
        <v>1845</v>
      </c>
      <c r="E34" s="5" t="s">
        <v>9</v>
      </c>
      <c r="F34" s="7"/>
      <c r="G34" s="9">
        <v>45809</v>
      </c>
    </row>
    <row r="35" spans="1:7" x14ac:dyDescent="0.3">
      <c r="A35" s="5" t="s">
        <v>69</v>
      </c>
      <c r="B35" s="7">
        <v>45837</v>
      </c>
      <c r="C35" s="5" t="s">
        <v>15</v>
      </c>
      <c r="D35" s="15">
        <v>1711</v>
      </c>
      <c r="E35" s="5" t="s">
        <v>9</v>
      </c>
      <c r="F35" s="7"/>
      <c r="G35" s="9">
        <v>45809</v>
      </c>
    </row>
    <row r="36" spans="1:7" x14ac:dyDescent="0.3">
      <c r="A36" s="5" t="s">
        <v>70</v>
      </c>
      <c r="B36" s="7">
        <v>45820</v>
      </c>
      <c r="C36" s="5" t="s">
        <v>8</v>
      </c>
      <c r="D36" s="15">
        <v>2119</v>
      </c>
      <c r="E36" s="5" t="s">
        <v>9</v>
      </c>
      <c r="F36" s="7"/>
      <c r="G36" s="9">
        <v>45809</v>
      </c>
    </row>
    <row r="37" spans="1:7" x14ac:dyDescent="0.3">
      <c r="A37" s="5" t="s">
        <v>71</v>
      </c>
      <c r="B37" s="7">
        <v>45815</v>
      </c>
      <c r="C37" s="5" t="s">
        <v>15</v>
      </c>
      <c r="D37" s="15">
        <v>1766</v>
      </c>
      <c r="E37" s="5" t="s">
        <v>9</v>
      </c>
      <c r="F37" s="7"/>
      <c r="G37" s="9">
        <v>45809</v>
      </c>
    </row>
    <row r="38" spans="1:7" x14ac:dyDescent="0.3">
      <c r="A38" s="5" t="s">
        <v>72</v>
      </c>
      <c r="B38" s="7">
        <v>45821</v>
      </c>
      <c r="C38" s="5" t="s">
        <v>11</v>
      </c>
      <c r="D38" s="15">
        <v>3346</v>
      </c>
      <c r="E38" s="5" t="s">
        <v>9</v>
      </c>
      <c r="F38" s="7"/>
      <c r="G38" s="9">
        <v>45809</v>
      </c>
    </row>
    <row r="39" spans="1:7" x14ac:dyDescent="0.3">
      <c r="A39" s="5" t="s">
        <v>73</v>
      </c>
      <c r="B39" s="7">
        <v>45814</v>
      </c>
      <c r="C39" s="5" t="s">
        <v>11</v>
      </c>
      <c r="D39" s="15">
        <v>3181</v>
      </c>
      <c r="E39" s="5" t="s">
        <v>9</v>
      </c>
      <c r="F39" s="7"/>
      <c r="G39" s="9">
        <v>45809</v>
      </c>
    </row>
    <row r="40" spans="1:7" x14ac:dyDescent="0.3">
      <c r="A40" s="5" t="s">
        <v>74</v>
      </c>
      <c r="B40" s="7">
        <v>45813</v>
      </c>
      <c r="C40" s="5" t="s">
        <v>15</v>
      </c>
      <c r="D40" s="15">
        <v>1981</v>
      </c>
      <c r="E40" s="5" t="s">
        <v>9</v>
      </c>
      <c r="F40" s="7"/>
      <c r="G40" s="9">
        <v>45809</v>
      </c>
    </row>
    <row r="41" spans="1:7" x14ac:dyDescent="0.3">
      <c r="A41" s="5" t="s">
        <v>75</v>
      </c>
      <c r="B41" s="7">
        <v>45822</v>
      </c>
      <c r="C41" s="5" t="s">
        <v>17</v>
      </c>
      <c r="D41" s="15">
        <v>2449</v>
      </c>
      <c r="E41" s="5" t="s">
        <v>9</v>
      </c>
      <c r="F41" s="7"/>
      <c r="G41" s="9">
        <v>45809</v>
      </c>
    </row>
    <row r="42" spans="1:7" x14ac:dyDescent="0.3">
      <c r="A42" s="5" t="s">
        <v>76</v>
      </c>
      <c r="B42" s="7">
        <v>45846</v>
      </c>
      <c r="C42" s="5" t="s">
        <v>8</v>
      </c>
      <c r="D42" s="15">
        <v>2180</v>
      </c>
      <c r="E42" s="5"/>
      <c r="F42" s="7">
        <v>45990</v>
      </c>
      <c r="G42" s="9">
        <v>45839</v>
      </c>
    </row>
    <row r="43" spans="1:7" x14ac:dyDescent="0.3">
      <c r="A43" s="5" t="s">
        <v>77</v>
      </c>
      <c r="B43" s="7">
        <v>45846</v>
      </c>
      <c r="C43" s="5" t="s">
        <v>8</v>
      </c>
      <c r="D43" s="15">
        <v>2186</v>
      </c>
      <c r="E43" s="5" t="s">
        <v>9</v>
      </c>
      <c r="F43" s="7"/>
      <c r="G43" s="9">
        <v>45839</v>
      </c>
    </row>
    <row r="44" spans="1:7" x14ac:dyDescent="0.3">
      <c r="A44" s="5" t="s">
        <v>78</v>
      </c>
      <c r="B44" s="7">
        <v>45839</v>
      </c>
      <c r="C44" s="5" t="s">
        <v>8</v>
      </c>
      <c r="D44" s="15">
        <v>2547</v>
      </c>
      <c r="E44" s="5" t="s">
        <v>9</v>
      </c>
      <c r="F44" s="7"/>
      <c r="G44" s="9">
        <v>45839</v>
      </c>
    </row>
    <row r="45" spans="1:7" x14ac:dyDescent="0.3">
      <c r="A45" s="5" t="s">
        <v>79</v>
      </c>
      <c r="B45" s="7">
        <v>45857</v>
      </c>
      <c r="C45" s="5" t="s">
        <v>11</v>
      </c>
      <c r="D45" s="15">
        <v>2964</v>
      </c>
      <c r="E45" s="5" t="s">
        <v>9</v>
      </c>
      <c r="F45" s="7"/>
      <c r="G45" s="9">
        <v>45839</v>
      </c>
    </row>
    <row r="46" spans="1:7" x14ac:dyDescent="0.3">
      <c r="A46" s="5" t="s">
        <v>80</v>
      </c>
      <c r="B46" s="7">
        <v>45855</v>
      </c>
      <c r="C46" s="5" t="s">
        <v>17</v>
      </c>
      <c r="D46" s="15">
        <v>2435</v>
      </c>
      <c r="E46" s="5" t="s">
        <v>9</v>
      </c>
      <c r="F46" s="7"/>
      <c r="G46" s="9">
        <v>45839</v>
      </c>
    </row>
    <row r="47" spans="1:7" x14ac:dyDescent="0.3">
      <c r="A47" s="5" t="s">
        <v>81</v>
      </c>
      <c r="B47" s="7">
        <v>45840</v>
      </c>
      <c r="C47" s="5" t="s">
        <v>11</v>
      </c>
      <c r="D47" s="15">
        <v>3345</v>
      </c>
      <c r="E47" s="5" t="s">
        <v>9</v>
      </c>
      <c r="F47" s="7"/>
      <c r="G47" s="9">
        <v>45839</v>
      </c>
    </row>
    <row r="48" spans="1:7" x14ac:dyDescent="0.3">
      <c r="A48" s="5" t="s">
        <v>82</v>
      </c>
      <c r="B48" s="7">
        <v>45866</v>
      </c>
      <c r="C48" s="5" t="s">
        <v>15</v>
      </c>
      <c r="D48" s="15">
        <v>1986</v>
      </c>
      <c r="E48" s="5" t="s">
        <v>9</v>
      </c>
      <c r="F48" s="7"/>
      <c r="G48" s="9">
        <v>45839</v>
      </c>
    </row>
    <row r="49" spans="1:7" x14ac:dyDescent="0.3">
      <c r="A49" s="5" t="s">
        <v>83</v>
      </c>
      <c r="B49" s="7">
        <v>45851</v>
      </c>
      <c r="C49" s="5" t="s">
        <v>11</v>
      </c>
      <c r="D49" s="15">
        <v>3146</v>
      </c>
      <c r="E49" s="5" t="s">
        <v>9</v>
      </c>
      <c r="F49" s="7"/>
      <c r="G49" s="9">
        <v>45839</v>
      </c>
    </row>
    <row r="50" spans="1:7" x14ac:dyDescent="0.3">
      <c r="A50" s="5" t="s">
        <v>84</v>
      </c>
      <c r="B50" s="7">
        <v>45840</v>
      </c>
      <c r="C50" s="5" t="s">
        <v>8</v>
      </c>
      <c r="D50" s="15">
        <v>2213</v>
      </c>
      <c r="E50" s="5" t="s">
        <v>9</v>
      </c>
      <c r="F50" s="7"/>
      <c r="G50" s="9">
        <v>45839</v>
      </c>
    </row>
    <row r="51" spans="1:7" x14ac:dyDescent="0.3">
      <c r="A51" s="5" t="s">
        <v>85</v>
      </c>
      <c r="B51" s="7">
        <v>45842</v>
      </c>
      <c r="C51" s="5" t="s">
        <v>11</v>
      </c>
      <c r="D51" s="15">
        <v>2926</v>
      </c>
      <c r="E51" s="5"/>
      <c r="F51" s="7">
        <v>45974</v>
      </c>
      <c r="G51" s="9">
        <v>45839</v>
      </c>
    </row>
    <row r="52" spans="1:7" x14ac:dyDescent="0.3">
      <c r="A52" s="5" t="s">
        <v>86</v>
      </c>
      <c r="B52" s="7">
        <v>45874</v>
      </c>
      <c r="C52" s="5" t="s">
        <v>13</v>
      </c>
      <c r="D52" s="15">
        <v>2885</v>
      </c>
      <c r="E52" s="5" t="s">
        <v>9</v>
      </c>
      <c r="F52" s="7"/>
      <c r="G52" s="9">
        <v>45870</v>
      </c>
    </row>
    <row r="53" spans="1:7" x14ac:dyDescent="0.3">
      <c r="A53" s="5" t="s">
        <v>87</v>
      </c>
      <c r="B53" s="7">
        <v>45870</v>
      </c>
      <c r="C53" s="5" t="s">
        <v>8</v>
      </c>
      <c r="D53" s="15">
        <v>2212</v>
      </c>
      <c r="E53" s="5" t="s">
        <v>9</v>
      </c>
      <c r="F53" s="7"/>
      <c r="G53" s="9">
        <v>45870</v>
      </c>
    </row>
    <row r="54" spans="1:7" x14ac:dyDescent="0.3">
      <c r="A54" s="5" t="s">
        <v>88</v>
      </c>
      <c r="B54" s="7">
        <v>45874</v>
      </c>
      <c r="C54" s="5" t="s">
        <v>13</v>
      </c>
      <c r="D54" s="15">
        <v>2889</v>
      </c>
      <c r="E54" s="5" t="s">
        <v>9</v>
      </c>
      <c r="F54" s="7"/>
      <c r="G54" s="9">
        <v>45870</v>
      </c>
    </row>
    <row r="55" spans="1:7" x14ac:dyDescent="0.3">
      <c r="A55" s="5" t="s">
        <v>89</v>
      </c>
      <c r="B55" s="7">
        <v>45881</v>
      </c>
      <c r="C55" s="5" t="s">
        <v>13</v>
      </c>
      <c r="D55" s="15">
        <v>2459</v>
      </c>
      <c r="E55" s="5" t="s">
        <v>9</v>
      </c>
      <c r="F55" s="7"/>
      <c r="G55" s="9">
        <v>45870</v>
      </c>
    </row>
    <row r="56" spans="1:7" x14ac:dyDescent="0.3">
      <c r="A56" s="5" t="s">
        <v>90</v>
      </c>
      <c r="B56" s="7">
        <v>45884</v>
      </c>
      <c r="C56" s="5" t="s">
        <v>13</v>
      </c>
      <c r="D56" s="15">
        <v>2559</v>
      </c>
      <c r="E56" s="5"/>
      <c r="F56" s="7">
        <v>45957</v>
      </c>
      <c r="G56" s="9">
        <v>45870</v>
      </c>
    </row>
    <row r="57" spans="1:7" x14ac:dyDescent="0.3">
      <c r="A57" s="5" t="s">
        <v>91</v>
      </c>
      <c r="B57" s="7">
        <v>45893</v>
      </c>
      <c r="C57" s="5" t="s">
        <v>11</v>
      </c>
      <c r="D57" s="15">
        <v>3035</v>
      </c>
      <c r="E57" s="5" t="s">
        <v>9</v>
      </c>
      <c r="F57" s="7"/>
      <c r="G57" s="9">
        <v>45870</v>
      </c>
    </row>
    <row r="58" spans="1:7" x14ac:dyDescent="0.3">
      <c r="A58" s="5" t="s">
        <v>92</v>
      </c>
      <c r="B58" s="7">
        <v>45892</v>
      </c>
      <c r="C58" s="5" t="s">
        <v>8</v>
      </c>
      <c r="D58" s="15">
        <v>2023</v>
      </c>
      <c r="E58" s="5" t="s">
        <v>9</v>
      </c>
      <c r="F58" s="7"/>
      <c r="G58" s="9">
        <v>45870</v>
      </c>
    </row>
    <row r="59" spans="1:7" x14ac:dyDescent="0.3">
      <c r="A59" s="5" t="s">
        <v>93</v>
      </c>
      <c r="B59" s="7">
        <v>45886</v>
      </c>
      <c r="C59" s="5" t="s">
        <v>11</v>
      </c>
      <c r="D59" s="15">
        <v>3253</v>
      </c>
      <c r="E59" s="5" t="s">
        <v>9</v>
      </c>
      <c r="F59" s="7"/>
      <c r="G59" s="9">
        <v>45870</v>
      </c>
    </row>
    <row r="60" spans="1:7" x14ac:dyDescent="0.3">
      <c r="A60" s="5" t="s">
        <v>94</v>
      </c>
      <c r="B60" s="7">
        <v>45870</v>
      </c>
      <c r="C60" s="5" t="s">
        <v>15</v>
      </c>
      <c r="D60" s="15">
        <v>1852</v>
      </c>
      <c r="E60" s="5" t="s">
        <v>9</v>
      </c>
      <c r="F60" s="7"/>
      <c r="G60" s="9">
        <v>45870</v>
      </c>
    </row>
    <row r="61" spans="1:7" x14ac:dyDescent="0.3">
      <c r="A61" s="5" t="s">
        <v>95</v>
      </c>
      <c r="B61" s="7">
        <v>45897</v>
      </c>
      <c r="C61" s="5" t="s">
        <v>8</v>
      </c>
      <c r="D61" s="15">
        <v>2267</v>
      </c>
      <c r="E61" s="5" t="s">
        <v>9</v>
      </c>
      <c r="F61" s="7"/>
      <c r="G61" s="9">
        <v>45870</v>
      </c>
    </row>
    <row r="62" spans="1:7" x14ac:dyDescent="0.3">
      <c r="A62" s="5" t="s">
        <v>96</v>
      </c>
      <c r="B62" s="7">
        <v>45899</v>
      </c>
      <c r="C62" s="5" t="s">
        <v>8</v>
      </c>
      <c r="D62" s="15">
        <v>2228</v>
      </c>
      <c r="E62" s="5" t="s">
        <v>9</v>
      </c>
      <c r="F62" s="7"/>
      <c r="G62" s="9">
        <v>45870</v>
      </c>
    </row>
    <row r="63" spans="1:7" x14ac:dyDescent="0.3">
      <c r="A63" s="5" t="s">
        <v>97</v>
      </c>
      <c r="B63" s="7">
        <v>45925</v>
      </c>
      <c r="C63" s="5" t="s">
        <v>13</v>
      </c>
      <c r="D63" s="15">
        <v>2725</v>
      </c>
      <c r="E63" s="5" t="s">
        <v>9</v>
      </c>
      <c r="F63" s="7"/>
      <c r="G63" s="9">
        <v>45901</v>
      </c>
    </row>
    <row r="64" spans="1:7" x14ac:dyDescent="0.3">
      <c r="A64" s="5" t="s">
        <v>98</v>
      </c>
      <c r="B64" s="7">
        <v>45926</v>
      </c>
      <c r="C64" s="5" t="s">
        <v>15</v>
      </c>
      <c r="D64" s="15">
        <v>2088</v>
      </c>
      <c r="E64" s="5" t="s">
        <v>9</v>
      </c>
      <c r="F64" s="7"/>
      <c r="G64" s="9">
        <v>45901</v>
      </c>
    </row>
    <row r="65" spans="1:7" x14ac:dyDescent="0.3">
      <c r="A65" s="5" t="s">
        <v>99</v>
      </c>
      <c r="B65" s="7">
        <v>45926</v>
      </c>
      <c r="C65" s="5" t="s">
        <v>8</v>
      </c>
      <c r="D65" s="15">
        <v>2410</v>
      </c>
      <c r="E65" s="5" t="s">
        <v>9</v>
      </c>
      <c r="F65" s="7"/>
      <c r="G65" s="9">
        <v>45901</v>
      </c>
    </row>
    <row r="66" spans="1:7" x14ac:dyDescent="0.3">
      <c r="A66" s="5" t="s">
        <v>100</v>
      </c>
      <c r="B66" s="7">
        <v>45908</v>
      </c>
      <c r="C66" s="5" t="s">
        <v>8</v>
      </c>
      <c r="D66" s="15">
        <v>2504</v>
      </c>
      <c r="E66" s="5" t="s">
        <v>9</v>
      </c>
      <c r="F66" s="7"/>
      <c r="G66" s="9">
        <v>45901</v>
      </c>
    </row>
    <row r="67" spans="1:7" x14ac:dyDescent="0.3">
      <c r="A67" s="5" t="s">
        <v>101</v>
      </c>
      <c r="B67" s="7">
        <v>45901</v>
      </c>
      <c r="C67" s="5" t="s">
        <v>17</v>
      </c>
      <c r="D67" s="15">
        <v>2243</v>
      </c>
      <c r="E67" s="5" t="s">
        <v>9</v>
      </c>
      <c r="F67" s="7"/>
      <c r="G67" s="9">
        <v>45901</v>
      </c>
    </row>
    <row r="68" spans="1:7" x14ac:dyDescent="0.3">
      <c r="A68" s="5" t="s">
        <v>102</v>
      </c>
      <c r="B68" s="7">
        <v>45907</v>
      </c>
      <c r="C68" s="5" t="s">
        <v>15</v>
      </c>
      <c r="D68" s="15">
        <v>1876</v>
      </c>
      <c r="E68" s="5" t="s">
        <v>9</v>
      </c>
      <c r="F68" s="7"/>
      <c r="G68" s="9">
        <v>45901</v>
      </c>
    </row>
    <row r="69" spans="1:7" x14ac:dyDescent="0.3">
      <c r="A69" s="5" t="s">
        <v>103</v>
      </c>
      <c r="B69" s="7">
        <v>45930</v>
      </c>
      <c r="C69" s="5" t="s">
        <v>15</v>
      </c>
      <c r="D69" s="15">
        <v>1878</v>
      </c>
      <c r="E69" s="5" t="s">
        <v>9</v>
      </c>
      <c r="F69" s="7"/>
      <c r="G69" s="9">
        <v>45901</v>
      </c>
    </row>
    <row r="70" spans="1:7" x14ac:dyDescent="0.3">
      <c r="A70" s="5" t="s">
        <v>104</v>
      </c>
      <c r="B70" s="7">
        <v>45912</v>
      </c>
      <c r="C70" s="5" t="s">
        <v>8</v>
      </c>
      <c r="D70" s="15">
        <v>2104</v>
      </c>
      <c r="E70" s="5" t="s">
        <v>9</v>
      </c>
      <c r="F70" s="7"/>
      <c r="G70" s="9">
        <v>45901</v>
      </c>
    </row>
    <row r="71" spans="1:7" x14ac:dyDescent="0.3">
      <c r="A71" s="5" t="s">
        <v>105</v>
      </c>
      <c r="B71" s="7">
        <v>45907</v>
      </c>
      <c r="C71" s="5" t="s">
        <v>11</v>
      </c>
      <c r="D71" s="15">
        <v>3147</v>
      </c>
      <c r="E71" s="5" t="s">
        <v>9</v>
      </c>
      <c r="F71" s="7"/>
      <c r="G71" s="9">
        <v>45901</v>
      </c>
    </row>
    <row r="72" spans="1:7" x14ac:dyDescent="0.3">
      <c r="A72" s="5" t="s">
        <v>106</v>
      </c>
      <c r="B72" s="7">
        <v>45929</v>
      </c>
      <c r="C72" s="5" t="s">
        <v>13</v>
      </c>
      <c r="D72" s="15">
        <v>2400</v>
      </c>
      <c r="E72" s="5" t="s">
        <v>9</v>
      </c>
      <c r="F72" s="7"/>
      <c r="G72" s="9">
        <v>45901</v>
      </c>
    </row>
    <row r="73" spans="1:7" x14ac:dyDescent="0.3">
      <c r="A73" s="5" t="s">
        <v>107</v>
      </c>
      <c r="B73" s="7">
        <v>45921</v>
      </c>
      <c r="C73" s="5" t="s">
        <v>11</v>
      </c>
      <c r="D73" s="15">
        <v>3229</v>
      </c>
      <c r="E73" s="5"/>
      <c r="F73" s="7">
        <v>46065</v>
      </c>
      <c r="G73" s="9">
        <v>45901</v>
      </c>
    </row>
    <row r="74" spans="1:7" x14ac:dyDescent="0.3">
      <c r="A74" s="5" t="s">
        <v>108</v>
      </c>
      <c r="B74" s="7">
        <v>45904</v>
      </c>
      <c r="C74" s="5" t="s">
        <v>17</v>
      </c>
      <c r="D74" s="15">
        <v>2500</v>
      </c>
      <c r="E74" s="5" t="s">
        <v>9</v>
      </c>
      <c r="F74" s="7"/>
      <c r="G74" s="9">
        <v>45901</v>
      </c>
    </row>
    <row r="75" spans="1:7" x14ac:dyDescent="0.3">
      <c r="A75" s="5" t="s">
        <v>109</v>
      </c>
      <c r="B75" s="7">
        <v>45937</v>
      </c>
      <c r="C75" s="5" t="s">
        <v>13</v>
      </c>
      <c r="D75" s="15">
        <v>2491</v>
      </c>
      <c r="E75" s="5" t="s">
        <v>9</v>
      </c>
      <c r="F75" s="7"/>
      <c r="G75" s="9">
        <v>45931</v>
      </c>
    </row>
    <row r="76" spans="1:7" x14ac:dyDescent="0.3">
      <c r="A76" s="5" t="s">
        <v>110</v>
      </c>
      <c r="B76" s="7">
        <v>45951</v>
      </c>
      <c r="C76" s="5" t="s">
        <v>11</v>
      </c>
      <c r="D76" s="15">
        <v>3310</v>
      </c>
      <c r="E76" s="5" t="s">
        <v>9</v>
      </c>
      <c r="F76" s="7"/>
      <c r="G76" s="9">
        <v>45931</v>
      </c>
    </row>
    <row r="77" spans="1:7" x14ac:dyDescent="0.3">
      <c r="A77" s="5" t="s">
        <v>111</v>
      </c>
      <c r="B77" s="7">
        <v>45954</v>
      </c>
      <c r="C77" s="5" t="s">
        <v>11</v>
      </c>
      <c r="D77" s="15">
        <v>3105</v>
      </c>
      <c r="E77" s="5" t="s">
        <v>9</v>
      </c>
      <c r="F77" s="7"/>
      <c r="G77" s="9">
        <v>45931</v>
      </c>
    </row>
    <row r="78" spans="1:7" x14ac:dyDescent="0.3">
      <c r="A78" s="5" t="s">
        <v>112</v>
      </c>
      <c r="B78" s="7">
        <v>45933</v>
      </c>
      <c r="C78" s="5" t="s">
        <v>15</v>
      </c>
      <c r="D78" s="15">
        <v>1787</v>
      </c>
      <c r="E78" s="5" t="s">
        <v>9</v>
      </c>
      <c r="F78" s="7"/>
      <c r="G78" s="9">
        <v>45931</v>
      </c>
    </row>
    <row r="79" spans="1:7" x14ac:dyDescent="0.3">
      <c r="A79" s="5" t="s">
        <v>113</v>
      </c>
      <c r="B79" s="7">
        <v>45931</v>
      </c>
      <c r="C79" s="5" t="s">
        <v>8</v>
      </c>
      <c r="D79" s="15">
        <v>2476</v>
      </c>
      <c r="E79" s="5" t="s">
        <v>9</v>
      </c>
      <c r="F79" s="7"/>
      <c r="G79" s="9">
        <v>45931</v>
      </c>
    </row>
    <row r="80" spans="1:7" x14ac:dyDescent="0.3">
      <c r="A80" s="5" t="s">
        <v>114</v>
      </c>
      <c r="B80" s="7">
        <v>45935</v>
      </c>
      <c r="C80" s="5" t="s">
        <v>13</v>
      </c>
      <c r="D80" s="15">
        <v>2705</v>
      </c>
      <c r="E80" s="5" t="s">
        <v>9</v>
      </c>
      <c r="F80" s="7"/>
      <c r="G80" s="9">
        <v>45931</v>
      </c>
    </row>
    <row r="81" spans="1:7" x14ac:dyDescent="0.3">
      <c r="A81" s="5" t="s">
        <v>115</v>
      </c>
      <c r="B81" s="7">
        <v>45952</v>
      </c>
      <c r="C81" s="5" t="s">
        <v>17</v>
      </c>
      <c r="D81" s="15">
        <v>2179</v>
      </c>
      <c r="E81" s="5" t="s">
        <v>9</v>
      </c>
      <c r="F81" s="7"/>
      <c r="G81" s="9">
        <v>45931</v>
      </c>
    </row>
    <row r="82" spans="1:7" x14ac:dyDescent="0.3">
      <c r="A82" s="5" t="s">
        <v>116</v>
      </c>
      <c r="B82" s="7">
        <v>45935</v>
      </c>
      <c r="C82" s="5" t="s">
        <v>8</v>
      </c>
      <c r="D82" s="15">
        <v>2105</v>
      </c>
      <c r="E82" s="5" t="s">
        <v>9</v>
      </c>
      <c r="F82" s="7"/>
      <c r="G82" s="9">
        <v>45931</v>
      </c>
    </row>
    <row r="83" spans="1:7" x14ac:dyDescent="0.3">
      <c r="A83" s="5" t="s">
        <v>117</v>
      </c>
      <c r="B83" s="7">
        <v>45960</v>
      </c>
      <c r="C83" s="5" t="s">
        <v>8</v>
      </c>
      <c r="D83" s="15">
        <v>2199</v>
      </c>
      <c r="E83" s="5" t="s">
        <v>9</v>
      </c>
      <c r="F83" s="7"/>
      <c r="G83" s="9">
        <v>45931</v>
      </c>
    </row>
    <row r="84" spans="1:7" x14ac:dyDescent="0.3">
      <c r="A84" s="5" t="s">
        <v>118</v>
      </c>
      <c r="B84" s="7">
        <v>45937</v>
      </c>
      <c r="C84" s="5" t="s">
        <v>8</v>
      </c>
      <c r="D84" s="15">
        <v>2217</v>
      </c>
      <c r="E84" s="5" t="s">
        <v>9</v>
      </c>
      <c r="F84" s="7"/>
      <c r="G84" s="9">
        <v>45931</v>
      </c>
    </row>
    <row r="85" spans="1:7" x14ac:dyDescent="0.3">
      <c r="A85" s="5" t="s">
        <v>119</v>
      </c>
      <c r="B85" s="7">
        <v>45938</v>
      </c>
      <c r="C85" s="5" t="s">
        <v>15</v>
      </c>
      <c r="D85" s="15">
        <v>1866</v>
      </c>
      <c r="E85" s="5" t="s">
        <v>9</v>
      </c>
      <c r="F85" s="7"/>
      <c r="G85" s="9">
        <v>45931</v>
      </c>
    </row>
    <row r="86" spans="1:7" x14ac:dyDescent="0.3">
      <c r="A86" s="5" t="s">
        <v>120</v>
      </c>
      <c r="B86" s="7">
        <v>45944</v>
      </c>
      <c r="C86" s="5" t="s">
        <v>15</v>
      </c>
      <c r="D86" s="15">
        <v>1731</v>
      </c>
      <c r="E86" s="5" t="s">
        <v>9</v>
      </c>
      <c r="F86" s="7"/>
      <c r="G86" s="9">
        <v>45931</v>
      </c>
    </row>
    <row r="87" spans="1:7" x14ac:dyDescent="0.3">
      <c r="A87" s="5" t="s">
        <v>121</v>
      </c>
      <c r="B87" s="7">
        <v>45942</v>
      </c>
      <c r="C87" s="5" t="s">
        <v>17</v>
      </c>
      <c r="D87" s="15">
        <v>2439</v>
      </c>
      <c r="E87" s="5" t="s">
        <v>9</v>
      </c>
      <c r="F87" s="7"/>
      <c r="G87" s="9">
        <v>45931</v>
      </c>
    </row>
    <row r="88" spans="1:7" x14ac:dyDescent="0.3">
      <c r="A88" s="5" t="s">
        <v>122</v>
      </c>
      <c r="B88" s="7">
        <v>45990</v>
      </c>
      <c r="C88" s="5" t="s">
        <v>13</v>
      </c>
      <c r="D88" s="15">
        <v>2823</v>
      </c>
      <c r="E88" s="5" t="s">
        <v>9</v>
      </c>
      <c r="F88" s="7"/>
      <c r="G88" s="9">
        <v>45962</v>
      </c>
    </row>
    <row r="89" spans="1:7" x14ac:dyDescent="0.3">
      <c r="A89" s="5" t="s">
        <v>123</v>
      </c>
      <c r="B89" s="7">
        <v>45978</v>
      </c>
      <c r="C89" s="5" t="s">
        <v>8</v>
      </c>
      <c r="D89" s="15">
        <v>2155</v>
      </c>
      <c r="E89" s="5" t="s">
        <v>9</v>
      </c>
      <c r="F89" s="7"/>
      <c r="G89" s="9">
        <v>45962</v>
      </c>
    </row>
    <row r="90" spans="1:7" x14ac:dyDescent="0.3">
      <c r="A90" s="5" t="s">
        <v>124</v>
      </c>
      <c r="B90" s="7">
        <v>45962</v>
      </c>
      <c r="C90" s="5" t="s">
        <v>17</v>
      </c>
      <c r="D90" s="15">
        <v>2497</v>
      </c>
      <c r="E90" s="5" t="s">
        <v>9</v>
      </c>
      <c r="F90" s="7"/>
      <c r="G90" s="9">
        <v>45962</v>
      </c>
    </row>
    <row r="91" spans="1:7" x14ac:dyDescent="0.3">
      <c r="A91" s="5" t="s">
        <v>125</v>
      </c>
      <c r="B91" s="7">
        <v>45962</v>
      </c>
      <c r="C91" s="5" t="s">
        <v>15</v>
      </c>
      <c r="D91" s="15">
        <v>1776</v>
      </c>
      <c r="E91" s="5" t="s">
        <v>9</v>
      </c>
      <c r="F91" s="7"/>
      <c r="G91" s="9">
        <v>45962</v>
      </c>
    </row>
    <row r="92" spans="1:7" x14ac:dyDescent="0.3">
      <c r="A92" s="5" t="s">
        <v>126</v>
      </c>
      <c r="B92" s="7">
        <v>45977</v>
      </c>
      <c r="C92" s="5" t="s">
        <v>13</v>
      </c>
      <c r="D92" s="15">
        <v>2461</v>
      </c>
      <c r="E92" s="5" t="s">
        <v>9</v>
      </c>
      <c r="F92" s="7"/>
      <c r="G92" s="9">
        <v>45962</v>
      </c>
    </row>
    <row r="93" spans="1:7" x14ac:dyDescent="0.3">
      <c r="A93" s="5" t="s">
        <v>127</v>
      </c>
      <c r="B93" s="7">
        <v>45972</v>
      </c>
      <c r="C93" s="5" t="s">
        <v>15</v>
      </c>
      <c r="D93" s="15">
        <v>1971</v>
      </c>
      <c r="E93" s="5" t="s">
        <v>9</v>
      </c>
      <c r="F93" s="7"/>
      <c r="G93" s="9">
        <v>45962</v>
      </c>
    </row>
    <row r="94" spans="1:7" x14ac:dyDescent="0.3">
      <c r="A94" s="5" t="s">
        <v>128</v>
      </c>
      <c r="B94" s="7">
        <v>45987</v>
      </c>
      <c r="C94" s="5" t="s">
        <v>15</v>
      </c>
      <c r="D94" s="15">
        <v>1986</v>
      </c>
      <c r="E94" s="5"/>
      <c r="F94" s="7">
        <v>46071</v>
      </c>
      <c r="G94" s="9">
        <v>45962</v>
      </c>
    </row>
    <row r="95" spans="1:7" x14ac:dyDescent="0.3">
      <c r="A95" s="5" t="s">
        <v>129</v>
      </c>
      <c r="B95" s="7">
        <v>45970</v>
      </c>
      <c r="C95" s="5" t="s">
        <v>8</v>
      </c>
      <c r="D95" s="15">
        <v>2100</v>
      </c>
      <c r="E95" s="5" t="s">
        <v>9</v>
      </c>
      <c r="F95" s="7"/>
      <c r="G95" s="9">
        <v>45962</v>
      </c>
    </row>
    <row r="96" spans="1:7" x14ac:dyDescent="0.3">
      <c r="A96" s="5" t="s">
        <v>130</v>
      </c>
      <c r="B96" s="7">
        <v>45979</v>
      </c>
      <c r="C96" s="5" t="s">
        <v>8</v>
      </c>
      <c r="D96" s="15">
        <v>2064</v>
      </c>
      <c r="E96" s="5" t="s">
        <v>9</v>
      </c>
      <c r="F96" s="7"/>
      <c r="G96" s="9">
        <v>45962</v>
      </c>
    </row>
    <row r="97" spans="1:7" x14ac:dyDescent="0.3">
      <c r="A97" s="5" t="s">
        <v>131</v>
      </c>
      <c r="B97" s="7">
        <v>45981</v>
      </c>
      <c r="C97" s="5" t="s">
        <v>17</v>
      </c>
      <c r="D97" s="15">
        <v>2410</v>
      </c>
      <c r="E97" s="5" t="s">
        <v>9</v>
      </c>
      <c r="F97" s="7"/>
      <c r="G97" s="9">
        <v>45962</v>
      </c>
    </row>
    <row r="98" spans="1:7" x14ac:dyDescent="0.3">
      <c r="A98" s="5" t="s">
        <v>132</v>
      </c>
      <c r="B98" s="7">
        <v>45984</v>
      </c>
      <c r="C98" s="5" t="s">
        <v>8</v>
      </c>
      <c r="D98" s="15">
        <v>2520</v>
      </c>
      <c r="E98" s="5" t="s">
        <v>9</v>
      </c>
      <c r="F98" s="7"/>
      <c r="G98" s="9">
        <v>45962</v>
      </c>
    </row>
    <row r="99" spans="1:7" x14ac:dyDescent="0.3">
      <c r="A99" s="5" t="s">
        <v>133</v>
      </c>
      <c r="B99" s="7">
        <v>45977</v>
      </c>
      <c r="C99" s="5" t="s">
        <v>13</v>
      </c>
      <c r="D99" s="15">
        <v>2526</v>
      </c>
      <c r="E99" s="5" t="s">
        <v>9</v>
      </c>
      <c r="F99" s="7"/>
      <c r="G99" s="9">
        <v>45962</v>
      </c>
    </row>
    <row r="100" spans="1:7" x14ac:dyDescent="0.3">
      <c r="A100" s="5" t="s">
        <v>134</v>
      </c>
      <c r="B100" s="7">
        <v>45990</v>
      </c>
      <c r="C100" s="5" t="s">
        <v>17</v>
      </c>
      <c r="D100" s="15">
        <v>2232</v>
      </c>
      <c r="E100" s="5" t="s">
        <v>9</v>
      </c>
      <c r="F100" s="7"/>
      <c r="G100" s="9">
        <v>45962</v>
      </c>
    </row>
    <row r="101" spans="1:7" x14ac:dyDescent="0.3">
      <c r="A101" s="5" t="s">
        <v>135</v>
      </c>
      <c r="B101" s="7">
        <v>45990</v>
      </c>
      <c r="C101" s="5" t="s">
        <v>17</v>
      </c>
      <c r="D101" s="15">
        <v>2329</v>
      </c>
      <c r="E101" s="5"/>
      <c r="F101" s="7">
        <v>46065</v>
      </c>
      <c r="G101" s="9">
        <v>45962</v>
      </c>
    </row>
    <row r="102" spans="1:7" x14ac:dyDescent="0.3">
      <c r="A102" s="5" t="s">
        <v>136</v>
      </c>
      <c r="B102" s="7">
        <v>46004</v>
      </c>
      <c r="C102" s="5" t="s">
        <v>11</v>
      </c>
      <c r="D102" s="15">
        <v>2937</v>
      </c>
      <c r="E102" s="5" t="s">
        <v>9</v>
      </c>
      <c r="F102" s="7"/>
      <c r="G102" s="9">
        <v>45992</v>
      </c>
    </row>
    <row r="103" spans="1:7" x14ac:dyDescent="0.3">
      <c r="A103" s="5" t="s">
        <v>137</v>
      </c>
      <c r="B103" s="7">
        <v>46005</v>
      </c>
      <c r="C103" s="5" t="s">
        <v>8</v>
      </c>
      <c r="D103" s="15">
        <v>2310</v>
      </c>
      <c r="E103" s="5" t="s">
        <v>9</v>
      </c>
      <c r="F103" s="7"/>
      <c r="G103" s="9">
        <v>45992</v>
      </c>
    </row>
    <row r="104" spans="1:7" x14ac:dyDescent="0.3">
      <c r="A104" s="5" t="s">
        <v>138</v>
      </c>
      <c r="B104" s="7">
        <v>46020</v>
      </c>
      <c r="C104" s="5" t="s">
        <v>15</v>
      </c>
      <c r="D104" s="15">
        <v>2066</v>
      </c>
      <c r="E104" s="5" t="s">
        <v>9</v>
      </c>
      <c r="F104" s="7"/>
      <c r="G104" s="9">
        <v>45992</v>
      </c>
    </row>
    <row r="105" spans="1:7" x14ac:dyDescent="0.3">
      <c r="A105" s="5" t="s">
        <v>139</v>
      </c>
      <c r="B105" s="7">
        <v>46003</v>
      </c>
      <c r="C105" s="5" t="s">
        <v>8</v>
      </c>
      <c r="D105" s="15">
        <v>2140</v>
      </c>
      <c r="E105" s="5" t="s">
        <v>9</v>
      </c>
      <c r="F105" s="7"/>
      <c r="G105" s="9">
        <v>45992</v>
      </c>
    </row>
    <row r="106" spans="1:7" x14ac:dyDescent="0.3">
      <c r="A106" s="5" t="s">
        <v>140</v>
      </c>
      <c r="B106" s="7">
        <v>45999</v>
      </c>
      <c r="C106" s="5" t="s">
        <v>15</v>
      </c>
      <c r="D106" s="15">
        <v>1748</v>
      </c>
      <c r="E106" s="5" t="s">
        <v>9</v>
      </c>
      <c r="F106" s="7"/>
      <c r="G106" s="9">
        <v>45992</v>
      </c>
    </row>
    <row r="107" spans="1:7" x14ac:dyDescent="0.3">
      <c r="A107" s="5" t="s">
        <v>141</v>
      </c>
      <c r="B107" s="7">
        <v>46007</v>
      </c>
      <c r="C107" s="5" t="s">
        <v>8</v>
      </c>
      <c r="D107" s="15">
        <v>2229</v>
      </c>
      <c r="E107" s="5" t="s">
        <v>9</v>
      </c>
      <c r="F107" s="7"/>
      <c r="G107" s="9">
        <v>45992</v>
      </c>
    </row>
    <row r="108" spans="1:7" x14ac:dyDescent="0.3">
      <c r="A108" s="5" t="s">
        <v>142</v>
      </c>
      <c r="B108" s="7">
        <v>46005</v>
      </c>
      <c r="C108" s="5" t="s">
        <v>17</v>
      </c>
      <c r="D108" s="15">
        <v>2306</v>
      </c>
      <c r="E108" s="5" t="s">
        <v>9</v>
      </c>
      <c r="F108" s="7"/>
      <c r="G108" s="9">
        <v>45992</v>
      </c>
    </row>
    <row r="109" spans="1:7" x14ac:dyDescent="0.3">
      <c r="A109" s="5" t="s">
        <v>143</v>
      </c>
      <c r="B109" s="7">
        <v>45998</v>
      </c>
      <c r="C109" s="5" t="s">
        <v>11</v>
      </c>
      <c r="D109" s="15">
        <v>2947</v>
      </c>
      <c r="E109" s="5" t="s">
        <v>9</v>
      </c>
      <c r="F109" s="7"/>
      <c r="G109" s="9">
        <v>45992</v>
      </c>
    </row>
    <row r="110" spans="1:7" x14ac:dyDescent="0.3">
      <c r="A110" s="5" t="s">
        <v>144</v>
      </c>
      <c r="B110" s="7">
        <v>45992</v>
      </c>
      <c r="C110" s="5" t="s">
        <v>11</v>
      </c>
      <c r="D110" s="15">
        <v>3134</v>
      </c>
      <c r="E110" s="5" t="s">
        <v>9</v>
      </c>
      <c r="F110" s="7"/>
      <c r="G110" s="9">
        <v>45992</v>
      </c>
    </row>
    <row r="111" spans="1:7" x14ac:dyDescent="0.3">
      <c r="A111" s="5" t="s">
        <v>145</v>
      </c>
      <c r="B111" s="7">
        <v>45992</v>
      </c>
      <c r="C111" s="5" t="s">
        <v>11</v>
      </c>
      <c r="D111" s="15">
        <v>3164</v>
      </c>
      <c r="E111" s="5" t="s">
        <v>9</v>
      </c>
      <c r="F111" s="7"/>
      <c r="G111" s="9">
        <v>45992</v>
      </c>
    </row>
    <row r="112" spans="1:7" x14ac:dyDescent="0.3">
      <c r="A112" s="5" t="s">
        <v>146</v>
      </c>
      <c r="B112" s="7">
        <v>46008</v>
      </c>
      <c r="C112" s="5" t="s">
        <v>17</v>
      </c>
      <c r="D112" s="15">
        <v>2157</v>
      </c>
      <c r="E112" s="5" t="s">
        <v>9</v>
      </c>
      <c r="F112" s="7"/>
      <c r="G112" s="9">
        <v>45992</v>
      </c>
    </row>
    <row r="113" spans="1:7" x14ac:dyDescent="0.3">
      <c r="A113" s="5" t="s">
        <v>147</v>
      </c>
      <c r="B113" s="7">
        <v>46017</v>
      </c>
      <c r="C113" s="5" t="s">
        <v>8</v>
      </c>
      <c r="D113" s="15">
        <v>2107</v>
      </c>
      <c r="E113" s="5"/>
      <c r="F113" s="7">
        <v>46111</v>
      </c>
      <c r="G113" s="9">
        <v>45992</v>
      </c>
    </row>
    <row r="114" spans="1:7" x14ac:dyDescent="0.3">
      <c r="A114" s="5" t="s">
        <v>148</v>
      </c>
      <c r="B114" s="7">
        <v>45993</v>
      </c>
      <c r="C114" s="5" t="s">
        <v>17</v>
      </c>
      <c r="D114" s="15">
        <v>2192</v>
      </c>
      <c r="E114" s="5" t="s">
        <v>9</v>
      </c>
      <c r="F114" s="7"/>
      <c r="G114" s="9">
        <v>45992</v>
      </c>
    </row>
    <row r="115" spans="1:7" x14ac:dyDescent="0.3">
      <c r="A115" s="5" t="s">
        <v>149</v>
      </c>
      <c r="B115" s="7">
        <v>45996</v>
      </c>
      <c r="C115" s="5" t="s">
        <v>15</v>
      </c>
      <c r="D115" s="15">
        <v>2046</v>
      </c>
      <c r="E115" s="5" t="s">
        <v>9</v>
      </c>
      <c r="F115" s="7"/>
      <c r="G115" s="9">
        <v>45992</v>
      </c>
    </row>
    <row r="116" spans="1:7" x14ac:dyDescent="0.3">
      <c r="A116" s="5" t="s">
        <v>150</v>
      </c>
      <c r="B116" s="7">
        <v>46000</v>
      </c>
      <c r="C116" s="5" t="s">
        <v>11</v>
      </c>
      <c r="D116" s="15">
        <v>3174</v>
      </c>
      <c r="E116" s="5" t="s">
        <v>9</v>
      </c>
      <c r="F116" s="7"/>
      <c r="G116" s="9">
        <v>45992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A25C1-F001-4598-BAB2-F1345A3FC194}">
  <dimension ref="A1:E13"/>
  <sheetViews>
    <sheetView workbookViewId="0">
      <selection activeCell="C25" sqref="C25"/>
    </sheetView>
  </sheetViews>
  <sheetFormatPr defaultRowHeight="14.4" x14ac:dyDescent="0.3"/>
  <cols>
    <col min="1" max="1" width="14.33203125" customWidth="1"/>
    <col min="2" max="2" width="20.6640625" customWidth="1"/>
    <col min="3" max="3" width="17" customWidth="1"/>
    <col min="4" max="4" width="16.33203125" customWidth="1"/>
    <col min="5" max="5" width="8.88671875" style="13"/>
    <col min="16" max="16" width="8.88671875" customWidth="1"/>
  </cols>
  <sheetData>
    <row r="1" spans="1:5" x14ac:dyDescent="0.3">
      <c r="A1" s="2" t="s">
        <v>23</v>
      </c>
      <c r="B1" s="4" t="s">
        <v>24</v>
      </c>
      <c r="C1" s="4" t="s">
        <v>25</v>
      </c>
      <c r="D1" s="4" t="s">
        <v>26</v>
      </c>
      <c r="E1" s="12" t="s">
        <v>27</v>
      </c>
    </row>
    <row r="2" spans="1:5" x14ac:dyDescent="0.3">
      <c r="A2" s="9">
        <v>45658</v>
      </c>
      <c r="B2" s="3">
        <v>35</v>
      </c>
      <c r="C2" s="3">
        <v>35</v>
      </c>
      <c r="D2" s="11">
        <v>175000</v>
      </c>
      <c r="E2" s="13" t="s">
        <v>28</v>
      </c>
    </row>
    <row r="3" spans="1:5" x14ac:dyDescent="0.3">
      <c r="A3" s="9">
        <v>45689</v>
      </c>
      <c r="B3" s="3">
        <v>42</v>
      </c>
      <c r="C3" s="3">
        <v>72</v>
      </c>
      <c r="D3" s="11">
        <v>360000</v>
      </c>
      <c r="E3" s="13">
        <f>(D3-D2)/D2</f>
        <v>1.0571428571428572</v>
      </c>
    </row>
    <row r="4" spans="1:5" x14ac:dyDescent="0.3">
      <c r="A4" s="9">
        <v>45717</v>
      </c>
      <c r="B4" s="3">
        <v>48</v>
      </c>
      <c r="C4" s="3">
        <v>111</v>
      </c>
      <c r="D4" s="11">
        <v>555000</v>
      </c>
      <c r="E4" s="13">
        <f t="shared" ref="E4:E13" si="0">(D4-D3)/D3</f>
        <v>0.54166666666666663</v>
      </c>
    </row>
    <row r="5" spans="1:5" x14ac:dyDescent="0.3">
      <c r="A5" s="9">
        <v>45748</v>
      </c>
      <c r="B5" s="3">
        <v>55</v>
      </c>
      <c r="C5" s="3">
        <v>157</v>
      </c>
      <c r="D5" s="11">
        <v>785000</v>
      </c>
      <c r="E5" s="13">
        <f t="shared" si="0"/>
        <v>0.4144144144144144</v>
      </c>
    </row>
    <row r="6" spans="1:5" x14ac:dyDescent="0.3">
      <c r="A6" s="9">
        <v>45778</v>
      </c>
      <c r="B6" s="3">
        <v>63</v>
      </c>
      <c r="C6" s="3">
        <v>214</v>
      </c>
      <c r="D6" s="11">
        <v>1070000</v>
      </c>
      <c r="E6" s="13">
        <f t="shared" si="0"/>
        <v>0.36305732484076431</v>
      </c>
    </row>
    <row r="7" spans="1:5" x14ac:dyDescent="0.3">
      <c r="A7" s="9">
        <v>45809</v>
      </c>
      <c r="B7" s="3">
        <v>70</v>
      </c>
      <c r="C7" s="3">
        <v>277</v>
      </c>
      <c r="D7" s="11">
        <v>1385000</v>
      </c>
      <c r="E7" s="13">
        <f t="shared" si="0"/>
        <v>0.29439252336448596</v>
      </c>
    </row>
    <row r="8" spans="1:5" x14ac:dyDescent="0.3">
      <c r="A8" s="9">
        <v>45839</v>
      </c>
      <c r="B8" s="3">
        <v>78</v>
      </c>
      <c r="C8" s="3">
        <v>346</v>
      </c>
      <c r="D8" s="11">
        <v>1730000</v>
      </c>
      <c r="E8" s="13">
        <f t="shared" si="0"/>
        <v>0.24909747292418771</v>
      </c>
    </row>
    <row r="9" spans="1:5" x14ac:dyDescent="0.3">
      <c r="A9" s="9">
        <v>45870</v>
      </c>
      <c r="B9" s="3">
        <v>85</v>
      </c>
      <c r="C9" s="3">
        <v>421</v>
      </c>
      <c r="D9" s="11">
        <v>2105000</v>
      </c>
      <c r="E9" s="13">
        <f t="shared" si="0"/>
        <v>0.21676300578034682</v>
      </c>
    </row>
    <row r="10" spans="1:5" x14ac:dyDescent="0.3">
      <c r="A10" s="9">
        <v>45901</v>
      </c>
      <c r="B10" s="3">
        <v>92</v>
      </c>
      <c r="C10" s="3">
        <v>494</v>
      </c>
      <c r="D10" s="11">
        <v>2470000</v>
      </c>
      <c r="E10" s="13">
        <f t="shared" si="0"/>
        <v>0.17339667458432304</v>
      </c>
    </row>
    <row r="11" spans="1:5" x14ac:dyDescent="0.3">
      <c r="A11" s="9">
        <v>45931</v>
      </c>
      <c r="B11" s="3">
        <v>100</v>
      </c>
      <c r="C11" s="3">
        <v>567</v>
      </c>
      <c r="D11" s="11">
        <v>2835000</v>
      </c>
      <c r="E11" s="13">
        <f t="shared" si="0"/>
        <v>0.14777327935222673</v>
      </c>
    </row>
    <row r="12" spans="1:5" x14ac:dyDescent="0.3">
      <c r="A12" s="9">
        <v>45962</v>
      </c>
      <c r="B12" s="3">
        <v>108</v>
      </c>
      <c r="C12" s="3">
        <v>642</v>
      </c>
      <c r="D12" s="11">
        <v>3210000</v>
      </c>
      <c r="E12" s="13">
        <f t="shared" si="0"/>
        <v>0.13227513227513227</v>
      </c>
    </row>
    <row r="13" spans="1:5" x14ac:dyDescent="0.3">
      <c r="A13" s="9">
        <v>45992</v>
      </c>
      <c r="B13" s="3">
        <v>115</v>
      </c>
      <c r="C13" s="3">
        <v>710</v>
      </c>
      <c r="D13" s="11">
        <v>3550000</v>
      </c>
      <c r="E13" s="13">
        <f t="shared" si="0"/>
        <v>0.1059190031152648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812A7-1384-4D22-BCD0-A7901C43B091}">
  <dimension ref="A1:G13"/>
  <sheetViews>
    <sheetView topLeftCell="B1" workbookViewId="0">
      <selection activeCell="E25" sqref="E25"/>
    </sheetView>
  </sheetViews>
  <sheetFormatPr defaultRowHeight="14.4" x14ac:dyDescent="0.3"/>
  <cols>
    <col min="1" max="1" width="18.6640625" customWidth="1"/>
    <col min="2" max="2" width="20.109375" style="16" customWidth="1"/>
    <col min="3" max="3" width="17.21875" style="16" customWidth="1"/>
    <col min="4" max="4" width="26.88671875" style="16" customWidth="1"/>
    <col min="5" max="5" width="18.33203125" style="16" customWidth="1"/>
    <col min="6" max="6" width="23.109375" style="16" customWidth="1"/>
    <col min="7" max="7" width="16.88671875" style="16" customWidth="1"/>
  </cols>
  <sheetData>
    <row r="1" spans="1:7" s="1" customFormat="1" x14ac:dyDescent="0.3">
      <c r="A1" s="2" t="s">
        <v>23</v>
      </c>
      <c r="B1" s="14" t="s">
        <v>29</v>
      </c>
      <c r="C1" s="14" t="s">
        <v>30</v>
      </c>
      <c r="D1" s="14" t="s">
        <v>31</v>
      </c>
      <c r="E1" s="14" t="s">
        <v>32</v>
      </c>
      <c r="F1" s="14" t="s">
        <v>33</v>
      </c>
      <c r="G1" s="14" t="s">
        <v>34</v>
      </c>
    </row>
    <row r="2" spans="1:7" x14ac:dyDescent="0.3">
      <c r="A2" s="9">
        <v>45658</v>
      </c>
      <c r="B2" s="15">
        <v>180000</v>
      </c>
      <c r="C2" s="15">
        <v>450000</v>
      </c>
      <c r="D2" s="15">
        <v>70000</v>
      </c>
      <c r="E2" s="15">
        <v>30000</v>
      </c>
      <c r="F2" s="15">
        <v>50000</v>
      </c>
      <c r="G2" s="16">
        <f>SUM(B2:F2)</f>
        <v>780000</v>
      </c>
    </row>
    <row r="3" spans="1:7" x14ac:dyDescent="0.3">
      <c r="A3" s="9">
        <v>45689</v>
      </c>
      <c r="B3" s="15">
        <v>200000</v>
      </c>
      <c r="C3" s="15">
        <v>450000</v>
      </c>
      <c r="D3" s="15">
        <v>75000</v>
      </c>
      <c r="E3" s="15">
        <v>32000</v>
      </c>
      <c r="F3" s="15">
        <v>55000</v>
      </c>
      <c r="G3" s="16">
        <f t="shared" ref="G3:G13" si="0">SUM(B3:F3)</f>
        <v>812000</v>
      </c>
    </row>
    <row r="4" spans="1:7" x14ac:dyDescent="0.3">
      <c r="A4" s="9">
        <v>45717</v>
      </c>
      <c r="B4" s="15">
        <v>230000</v>
      </c>
      <c r="C4" s="15">
        <v>480000</v>
      </c>
      <c r="D4" s="15">
        <v>80000</v>
      </c>
      <c r="E4" s="15">
        <v>35000</v>
      </c>
      <c r="F4" s="15">
        <v>60000</v>
      </c>
      <c r="G4" s="16">
        <f t="shared" si="0"/>
        <v>885000</v>
      </c>
    </row>
    <row r="5" spans="1:7" x14ac:dyDescent="0.3">
      <c r="A5" s="9">
        <v>45748</v>
      </c>
      <c r="B5" s="15">
        <v>250000</v>
      </c>
      <c r="C5" s="15">
        <v>500000</v>
      </c>
      <c r="D5" s="15">
        <v>85000</v>
      </c>
      <c r="E5" s="15">
        <v>38000</v>
      </c>
      <c r="F5" s="15">
        <v>65000</v>
      </c>
      <c r="G5" s="16">
        <f t="shared" si="0"/>
        <v>938000</v>
      </c>
    </row>
    <row r="6" spans="1:7" x14ac:dyDescent="0.3">
      <c r="A6" s="9">
        <v>45778</v>
      </c>
      <c r="B6" s="15">
        <v>280000</v>
      </c>
      <c r="C6" s="15">
        <v>520000</v>
      </c>
      <c r="D6" s="15">
        <v>90000</v>
      </c>
      <c r="E6" s="15">
        <v>40000</v>
      </c>
      <c r="F6" s="15">
        <v>70000</v>
      </c>
      <c r="G6" s="16">
        <f t="shared" si="0"/>
        <v>1000000</v>
      </c>
    </row>
    <row r="7" spans="1:7" x14ac:dyDescent="0.3">
      <c r="A7" s="9">
        <v>45809</v>
      </c>
      <c r="B7" s="15">
        <v>300000</v>
      </c>
      <c r="C7" s="15">
        <v>550000</v>
      </c>
      <c r="D7" s="15">
        <v>95000</v>
      </c>
      <c r="E7" s="15">
        <v>42000</v>
      </c>
      <c r="F7" s="15">
        <v>75000</v>
      </c>
      <c r="G7" s="16">
        <f t="shared" si="0"/>
        <v>1062000</v>
      </c>
    </row>
    <row r="8" spans="1:7" x14ac:dyDescent="0.3">
      <c r="A8" s="9">
        <v>45839</v>
      </c>
      <c r="B8" s="15">
        <v>320000</v>
      </c>
      <c r="C8" s="15">
        <v>580000</v>
      </c>
      <c r="D8" s="15">
        <v>100000</v>
      </c>
      <c r="E8" s="15">
        <v>45000</v>
      </c>
      <c r="F8" s="15">
        <v>80000</v>
      </c>
      <c r="G8" s="16">
        <f t="shared" si="0"/>
        <v>1125000</v>
      </c>
    </row>
    <row r="9" spans="1:7" x14ac:dyDescent="0.3">
      <c r="A9" s="9">
        <v>45870</v>
      </c>
      <c r="B9" s="15">
        <v>340000</v>
      </c>
      <c r="C9" s="15">
        <v>600000</v>
      </c>
      <c r="D9" s="15">
        <v>105000</v>
      </c>
      <c r="E9" s="15">
        <v>48000</v>
      </c>
      <c r="F9" s="15">
        <v>85000</v>
      </c>
      <c r="G9" s="16">
        <f t="shared" si="0"/>
        <v>1178000</v>
      </c>
    </row>
    <row r="10" spans="1:7" x14ac:dyDescent="0.3">
      <c r="A10" s="9">
        <v>45901</v>
      </c>
      <c r="B10" s="15">
        <v>360000</v>
      </c>
      <c r="C10" s="15">
        <v>620000</v>
      </c>
      <c r="D10" s="15">
        <v>110000</v>
      </c>
      <c r="E10" s="15">
        <v>50000</v>
      </c>
      <c r="F10" s="15">
        <v>90000</v>
      </c>
      <c r="G10" s="16">
        <f t="shared" si="0"/>
        <v>1230000</v>
      </c>
    </row>
    <row r="11" spans="1:7" x14ac:dyDescent="0.3">
      <c r="A11" s="9">
        <v>45931</v>
      </c>
      <c r="B11" s="15">
        <v>380000</v>
      </c>
      <c r="C11" s="15">
        <v>650000</v>
      </c>
      <c r="D11" s="15">
        <v>115000</v>
      </c>
      <c r="E11" s="15">
        <v>52000</v>
      </c>
      <c r="F11" s="15">
        <v>95000</v>
      </c>
      <c r="G11" s="16">
        <f t="shared" si="0"/>
        <v>1292000</v>
      </c>
    </row>
    <row r="12" spans="1:7" x14ac:dyDescent="0.3">
      <c r="A12" s="9">
        <v>45962</v>
      </c>
      <c r="B12" s="15">
        <v>400000</v>
      </c>
      <c r="C12" s="15">
        <v>680000</v>
      </c>
      <c r="D12" s="15">
        <v>120000</v>
      </c>
      <c r="E12" s="15">
        <v>55000</v>
      </c>
      <c r="F12" s="15">
        <v>100000</v>
      </c>
      <c r="G12" s="16">
        <f t="shared" si="0"/>
        <v>1355000</v>
      </c>
    </row>
    <row r="13" spans="1:7" x14ac:dyDescent="0.3">
      <c r="A13" s="9">
        <v>45992</v>
      </c>
      <c r="B13" s="15">
        <v>420000</v>
      </c>
      <c r="C13" s="15">
        <v>700000</v>
      </c>
      <c r="D13" s="15">
        <v>125000</v>
      </c>
      <c r="E13" s="15">
        <v>58000</v>
      </c>
      <c r="F13" s="15">
        <v>105000</v>
      </c>
      <c r="G13" s="16">
        <f t="shared" si="0"/>
        <v>1408000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A432C-736D-4776-8734-D0FC1B0262FF}">
  <dimension ref="A1:G13"/>
  <sheetViews>
    <sheetView workbookViewId="0">
      <selection activeCell="B19" sqref="B19"/>
    </sheetView>
  </sheetViews>
  <sheetFormatPr defaultRowHeight="14.4" x14ac:dyDescent="0.3"/>
  <cols>
    <col min="1" max="1" width="13.21875" customWidth="1"/>
    <col min="2" max="2" width="13.77734375" style="16" customWidth="1"/>
    <col min="3" max="3" width="12.88671875" style="16" customWidth="1"/>
    <col min="4" max="4" width="13" style="16" customWidth="1"/>
    <col min="5" max="5" width="14.109375" style="16" customWidth="1"/>
    <col min="6" max="6" width="13.33203125" style="16" customWidth="1"/>
    <col min="7" max="7" width="14.6640625" style="16" customWidth="1"/>
  </cols>
  <sheetData>
    <row r="1" spans="1:7" x14ac:dyDescent="0.3">
      <c r="A1" s="2" t="s">
        <v>23</v>
      </c>
      <c r="B1" s="14" t="s">
        <v>8</v>
      </c>
      <c r="C1" s="14" t="s">
        <v>17</v>
      </c>
      <c r="D1" s="14" t="s">
        <v>13</v>
      </c>
      <c r="E1" s="14" t="s">
        <v>11</v>
      </c>
      <c r="F1" s="14" t="s">
        <v>35</v>
      </c>
      <c r="G1" s="17" t="s">
        <v>36</v>
      </c>
    </row>
    <row r="2" spans="1:7" x14ac:dyDescent="0.3">
      <c r="A2" s="9">
        <v>45658</v>
      </c>
      <c r="B2" s="15">
        <v>80000</v>
      </c>
      <c r="C2" s="15">
        <v>40000</v>
      </c>
      <c r="D2" s="15">
        <v>30000</v>
      </c>
      <c r="E2" s="15">
        <v>10000</v>
      </c>
      <c r="F2" s="15">
        <v>20000</v>
      </c>
      <c r="G2" s="16">
        <f>SUM(B2:F2)</f>
        <v>180000</v>
      </c>
    </row>
    <row r="3" spans="1:7" x14ac:dyDescent="0.3">
      <c r="A3" s="9">
        <v>45689</v>
      </c>
      <c r="B3" s="15">
        <v>90000</v>
      </c>
      <c r="C3" s="15">
        <v>45000</v>
      </c>
      <c r="D3" s="15">
        <v>35000</v>
      </c>
      <c r="E3" s="15">
        <v>12000</v>
      </c>
      <c r="F3" s="15">
        <v>18000</v>
      </c>
      <c r="G3" s="16">
        <f t="shared" ref="G3:G13" si="0">SUM(B3:F3)</f>
        <v>200000</v>
      </c>
    </row>
    <row r="4" spans="1:7" x14ac:dyDescent="0.3">
      <c r="A4" s="9">
        <v>45717</v>
      </c>
      <c r="B4" s="15">
        <v>100000</v>
      </c>
      <c r="C4" s="15">
        <v>50000</v>
      </c>
      <c r="D4" s="15">
        <v>40000</v>
      </c>
      <c r="E4" s="15">
        <v>15000</v>
      </c>
      <c r="F4" s="15">
        <v>25000</v>
      </c>
      <c r="G4" s="16">
        <f t="shared" si="0"/>
        <v>230000</v>
      </c>
    </row>
    <row r="5" spans="1:7" x14ac:dyDescent="0.3">
      <c r="A5" s="9">
        <v>45748</v>
      </c>
      <c r="B5" s="15">
        <v>110000</v>
      </c>
      <c r="C5" s="15">
        <v>55000</v>
      </c>
      <c r="D5" s="15">
        <v>45000</v>
      </c>
      <c r="E5" s="15">
        <v>16000</v>
      </c>
      <c r="F5" s="15">
        <v>24000</v>
      </c>
      <c r="G5" s="16">
        <f t="shared" si="0"/>
        <v>250000</v>
      </c>
    </row>
    <row r="6" spans="1:7" x14ac:dyDescent="0.3">
      <c r="A6" s="9">
        <v>45778</v>
      </c>
      <c r="B6" s="15">
        <v>125000</v>
      </c>
      <c r="C6" s="15">
        <v>60000</v>
      </c>
      <c r="D6" s="15">
        <v>50000</v>
      </c>
      <c r="E6" s="15">
        <v>18000</v>
      </c>
      <c r="F6" s="15">
        <v>27000</v>
      </c>
      <c r="G6" s="16">
        <f t="shared" si="0"/>
        <v>280000</v>
      </c>
    </row>
    <row r="7" spans="1:7" x14ac:dyDescent="0.3">
      <c r="A7" s="9">
        <v>45809</v>
      </c>
      <c r="B7" s="15">
        <v>135000</v>
      </c>
      <c r="C7" s="15">
        <v>65000</v>
      </c>
      <c r="D7" s="15">
        <v>55000</v>
      </c>
      <c r="E7" s="15">
        <v>20000</v>
      </c>
      <c r="F7" s="15">
        <v>25000</v>
      </c>
      <c r="G7" s="16">
        <f t="shared" si="0"/>
        <v>300000</v>
      </c>
    </row>
    <row r="8" spans="1:7" x14ac:dyDescent="0.3">
      <c r="A8" s="9">
        <v>45839</v>
      </c>
      <c r="B8" s="15">
        <v>145000</v>
      </c>
      <c r="C8" s="15">
        <v>70000</v>
      </c>
      <c r="D8" s="15">
        <v>60000</v>
      </c>
      <c r="E8" s="15">
        <v>22000</v>
      </c>
      <c r="F8" s="15">
        <v>23000</v>
      </c>
      <c r="G8" s="16">
        <f t="shared" si="0"/>
        <v>320000</v>
      </c>
    </row>
    <row r="9" spans="1:7" x14ac:dyDescent="0.3">
      <c r="A9" s="9">
        <v>45870</v>
      </c>
      <c r="B9" s="15">
        <v>155000</v>
      </c>
      <c r="C9" s="15">
        <v>75000</v>
      </c>
      <c r="D9" s="15">
        <v>65000</v>
      </c>
      <c r="E9" s="15">
        <v>24000</v>
      </c>
      <c r="F9" s="15">
        <v>21000</v>
      </c>
      <c r="G9" s="16">
        <f t="shared" si="0"/>
        <v>340000</v>
      </c>
    </row>
    <row r="10" spans="1:7" x14ac:dyDescent="0.3">
      <c r="A10" s="9">
        <v>45901</v>
      </c>
      <c r="B10" s="15">
        <v>165000</v>
      </c>
      <c r="C10" s="15">
        <v>80000</v>
      </c>
      <c r="D10" s="15">
        <v>70000</v>
      </c>
      <c r="E10" s="15">
        <v>26000</v>
      </c>
      <c r="F10" s="15">
        <v>19000</v>
      </c>
      <c r="G10" s="16">
        <f t="shared" si="0"/>
        <v>360000</v>
      </c>
    </row>
    <row r="11" spans="1:7" x14ac:dyDescent="0.3">
      <c r="A11" s="9">
        <v>45931</v>
      </c>
      <c r="B11" s="15">
        <v>175000</v>
      </c>
      <c r="C11" s="15">
        <v>85000</v>
      </c>
      <c r="D11" s="15">
        <v>75000</v>
      </c>
      <c r="E11" s="15">
        <v>28000</v>
      </c>
      <c r="F11" s="15">
        <v>17000</v>
      </c>
      <c r="G11" s="16">
        <f t="shared" si="0"/>
        <v>380000</v>
      </c>
    </row>
    <row r="12" spans="1:7" x14ac:dyDescent="0.3">
      <c r="A12" s="9">
        <v>45962</v>
      </c>
      <c r="B12" s="15">
        <v>185000</v>
      </c>
      <c r="C12" s="15">
        <v>90000</v>
      </c>
      <c r="D12" s="15">
        <v>80000</v>
      </c>
      <c r="E12" s="15">
        <v>30000</v>
      </c>
      <c r="F12" s="15">
        <v>15000</v>
      </c>
      <c r="G12" s="16">
        <f t="shared" si="0"/>
        <v>400000</v>
      </c>
    </row>
    <row r="13" spans="1:7" x14ac:dyDescent="0.3">
      <c r="A13" s="9">
        <v>45992</v>
      </c>
      <c r="B13" s="15">
        <v>195000</v>
      </c>
      <c r="C13" s="15">
        <v>95000</v>
      </c>
      <c r="D13" s="15">
        <v>85000</v>
      </c>
      <c r="E13" s="15">
        <v>32000</v>
      </c>
      <c r="F13" s="15">
        <v>13000</v>
      </c>
      <c r="G13" s="16">
        <f t="shared" si="0"/>
        <v>420000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947B-016F-41BD-85DD-869BE6258E2A}">
  <dimension ref="A1:L13"/>
  <sheetViews>
    <sheetView topLeftCell="H1" workbookViewId="0">
      <selection activeCell="L25" sqref="L25"/>
    </sheetView>
  </sheetViews>
  <sheetFormatPr defaultRowHeight="14.4" x14ac:dyDescent="0.3"/>
  <cols>
    <col min="1" max="1" width="13.77734375" customWidth="1"/>
    <col min="2" max="2" width="15.21875" style="16" customWidth="1"/>
    <col min="3" max="3" width="18.6640625" style="16" customWidth="1"/>
    <col min="4" max="4" width="17.109375" style="16" customWidth="1"/>
    <col min="5" max="5" width="18.88671875" customWidth="1"/>
    <col min="6" max="6" width="9.44140625" bestFit="1" customWidth="1"/>
    <col min="7" max="7" width="12.88671875" customWidth="1"/>
    <col min="8" max="8" width="14.44140625" style="16" bestFit="1" customWidth="1"/>
    <col min="9" max="9" width="18.21875" customWidth="1"/>
    <col min="10" max="10" width="17.6640625" customWidth="1"/>
    <col min="11" max="11" width="16.44140625" customWidth="1"/>
    <col min="12" max="12" width="20.88671875" customWidth="1"/>
  </cols>
  <sheetData>
    <row r="1" spans="1:12" s="1" customFormat="1" x14ac:dyDescent="0.3">
      <c r="A1" s="18" t="s">
        <v>23</v>
      </c>
      <c r="B1" s="19" t="s">
        <v>37</v>
      </c>
      <c r="C1" s="19" t="s">
        <v>34</v>
      </c>
      <c r="D1" s="19" t="s">
        <v>38</v>
      </c>
      <c r="E1" s="18" t="s">
        <v>25</v>
      </c>
      <c r="F1" s="18" t="s">
        <v>39</v>
      </c>
      <c r="G1" s="18" t="s">
        <v>40</v>
      </c>
      <c r="H1" s="19" t="s">
        <v>41</v>
      </c>
      <c r="I1" s="18" t="s">
        <v>42</v>
      </c>
      <c r="J1" s="18" t="s">
        <v>43</v>
      </c>
      <c r="K1" s="18" t="s">
        <v>44</v>
      </c>
      <c r="L1" s="1" t="s">
        <v>45</v>
      </c>
    </row>
    <row r="2" spans="1:12" x14ac:dyDescent="0.3">
      <c r="A2" s="8">
        <v>45658</v>
      </c>
      <c r="B2" s="16">
        <f>revenue!D2</f>
        <v>175000</v>
      </c>
      <c r="C2" s="16">
        <f>expenses!G2</f>
        <v>780000</v>
      </c>
      <c r="D2" s="16">
        <f>C2-B2</f>
        <v>605000</v>
      </c>
      <c r="E2">
        <f>revenue!C2</f>
        <v>35</v>
      </c>
      <c r="F2" s="10">
        <f>marketing!G2/revenue!B2</f>
        <v>5142.8571428571431</v>
      </c>
      <c r="G2" s="16">
        <f>B2/E2</f>
        <v>5000</v>
      </c>
      <c r="H2" s="16">
        <v>2100000</v>
      </c>
      <c r="I2" s="20">
        <v>0.75</v>
      </c>
      <c r="J2" s="20">
        <v>0.03</v>
      </c>
      <c r="K2">
        <f>G2*I2/J2</f>
        <v>125000</v>
      </c>
      <c r="L2">
        <f>K2/F2</f>
        <v>24.305555555555554</v>
      </c>
    </row>
    <row r="3" spans="1:12" x14ac:dyDescent="0.3">
      <c r="A3" s="8">
        <v>45689</v>
      </c>
      <c r="B3" s="16">
        <f>revenue!D3</f>
        <v>360000</v>
      </c>
      <c r="C3" s="16">
        <f>expenses!G3</f>
        <v>812000</v>
      </c>
      <c r="D3" s="16">
        <f t="shared" ref="D3:D13" si="0">C3-B3</f>
        <v>452000</v>
      </c>
      <c r="E3">
        <f>revenue!C3</f>
        <v>72</v>
      </c>
      <c r="F3" s="10">
        <f>marketing!G3/revenue!B3</f>
        <v>4761.9047619047615</v>
      </c>
      <c r="G3" s="16">
        <f t="shared" ref="G3:G13" si="1">B3/E3</f>
        <v>5000</v>
      </c>
      <c r="H3" s="16">
        <v>4320000</v>
      </c>
      <c r="I3" s="20">
        <v>0.75</v>
      </c>
      <c r="J3" s="20">
        <v>0.03</v>
      </c>
      <c r="K3">
        <f t="shared" ref="K3:K13" si="2">G3*I3/J3</f>
        <v>125000</v>
      </c>
      <c r="L3">
        <f t="shared" ref="L3:L13" si="3">K3/F3</f>
        <v>26.250000000000004</v>
      </c>
    </row>
    <row r="4" spans="1:12" x14ac:dyDescent="0.3">
      <c r="A4" s="8">
        <v>45717</v>
      </c>
      <c r="B4" s="16">
        <f>revenue!D4</f>
        <v>555000</v>
      </c>
      <c r="C4" s="16">
        <f>expenses!G4</f>
        <v>885000</v>
      </c>
      <c r="D4" s="16">
        <f t="shared" si="0"/>
        <v>330000</v>
      </c>
      <c r="E4">
        <f>revenue!C4</f>
        <v>111</v>
      </c>
      <c r="F4" s="10">
        <f>marketing!G4/revenue!B4</f>
        <v>4791.666666666667</v>
      </c>
      <c r="G4" s="16">
        <f t="shared" si="1"/>
        <v>5000</v>
      </c>
      <c r="H4" s="16">
        <v>6660000</v>
      </c>
      <c r="I4" s="20">
        <v>0.75</v>
      </c>
      <c r="J4" s="20">
        <v>0.03</v>
      </c>
      <c r="K4">
        <f t="shared" si="2"/>
        <v>125000</v>
      </c>
      <c r="L4">
        <f t="shared" si="3"/>
        <v>26.086956521739129</v>
      </c>
    </row>
    <row r="5" spans="1:12" x14ac:dyDescent="0.3">
      <c r="A5" s="8">
        <v>45748</v>
      </c>
      <c r="B5" s="16">
        <f>revenue!D5</f>
        <v>785000</v>
      </c>
      <c r="C5" s="16">
        <f>expenses!G5</f>
        <v>938000</v>
      </c>
      <c r="D5" s="16">
        <f t="shared" si="0"/>
        <v>153000</v>
      </c>
      <c r="E5">
        <f>revenue!C5</f>
        <v>157</v>
      </c>
      <c r="F5" s="10">
        <f>marketing!G5/revenue!B5</f>
        <v>4545.454545454545</v>
      </c>
      <c r="G5" s="16">
        <f t="shared" si="1"/>
        <v>5000</v>
      </c>
      <c r="H5" s="16">
        <v>9420000</v>
      </c>
      <c r="I5" s="20">
        <v>0.75</v>
      </c>
      <c r="J5" s="20">
        <v>0.03</v>
      </c>
      <c r="K5">
        <f t="shared" si="2"/>
        <v>125000</v>
      </c>
      <c r="L5">
        <f t="shared" si="3"/>
        <v>27.500000000000004</v>
      </c>
    </row>
    <row r="6" spans="1:12" x14ac:dyDescent="0.3">
      <c r="A6" s="8">
        <v>45778</v>
      </c>
      <c r="B6" s="16">
        <f>revenue!D6</f>
        <v>1070000</v>
      </c>
      <c r="C6" s="16">
        <f>expenses!G6</f>
        <v>1000000</v>
      </c>
      <c r="D6" s="16">
        <f t="shared" si="0"/>
        <v>-70000</v>
      </c>
      <c r="E6">
        <f>revenue!C6</f>
        <v>214</v>
      </c>
      <c r="F6" s="10">
        <f>marketing!G6/revenue!B6</f>
        <v>4444.4444444444443</v>
      </c>
      <c r="G6" s="16">
        <f t="shared" si="1"/>
        <v>5000</v>
      </c>
      <c r="H6" s="16">
        <v>12840000</v>
      </c>
      <c r="I6" s="20">
        <v>0.75</v>
      </c>
      <c r="J6" s="20">
        <v>0.03</v>
      </c>
      <c r="K6">
        <f t="shared" si="2"/>
        <v>125000</v>
      </c>
      <c r="L6">
        <f t="shared" si="3"/>
        <v>28.125</v>
      </c>
    </row>
    <row r="7" spans="1:12" x14ac:dyDescent="0.3">
      <c r="A7" s="8">
        <v>45809</v>
      </c>
      <c r="B7" s="16">
        <f>revenue!D7</f>
        <v>1385000</v>
      </c>
      <c r="C7" s="16">
        <f>expenses!G7</f>
        <v>1062000</v>
      </c>
      <c r="D7" s="16">
        <f t="shared" si="0"/>
        <v>-323000</v>
      </c>
      <c r="E7">
        <f>revenue!C7</f>
        <v>277</v>
      </c>
      <c r="F7" s="10">
        <f>marketing!G7/revenue!B7</f>
        <v>4285.7142857142853</v>
      </c>
      <c r="G7" s="16">
        <f t="shared" si="1"/>
        <v>5000</v>
      </c>
      <c r="H7" s="16">
        <v>16620000</v>
      </c>
      <c r="I7" s="20">
        <v>0.75</v>
      </c>
      <c r="J7" s="20">
        <v>0.03</v>
      </c>
      <c r="K7">
        <f t="shared" si="2"/>
        <v>125000</v>
      </c>
      <c r="L7">
        <f t="shared" si="3"/>
        <v>29.166666666666668</v>
      </c>
    </row>
    <row r="8" spans="1:12" x14ac:dyDescent="0.3">
      <c r="A8" s="8">
        <v>45839</v>
      </c>
      <c r="B8" s="16">
        <f>revenue!D8</f>
        <v>1730000</v>
      </c>
      <c r="C8" s="16">
        <f>expenses!G8</f>
        <v>1125000</v>
      </c>
      <c r="D8" s="16">
        <f t="shared" si="0"/>
        <v>-605000</v>
      </c>
      <c r="E8">
        <f>revenue!C8</f>
        <v>346</v>
      </c>
      <c r="F8" s="10">
        <f>marketing!G8/revenue!B8</f>
        <v>4102.5641025641025</v>
      </c>
      <c r="G8" s="16">
        <f t="shared" si="1"/>
        <v>5000</v>
      </c>
      <c r="H8" s="16">
        <v>20760000</v>
      </c>
      <c r="I8" s="20">
        <v>0.75</v>
      </c>
      <c r="J8" s="20">
        <v>0.03</v>
      </c>
      <c r="K8">
        <f t="shared" si="2"/>
        <v>125000</v>
      </c>
      <c r="L8">
        <f t="shared" si="3"/>
        <v>30.46875</v>
      </c>
    </row>
    <row r="9" spans="1:12" x14ac:dyDescent="0.3">
      <c r="A9" s="8">
        <v>45870</v>
      </c>
      <c r="B9" s="16">
        <f>revenue!D9</f>
        <v>2105000</v>
      </c>
      <c r="C9" s="16">
        <f>expenses!G9</f>
        <v>1178000</v>
      </c>
      <c r="D9" s="16">
        <f t="shared" si="0"/>
        <v>-927000</v>
      </c>
      <c r="E9">
        <f>revenue!C9</f>
        <v>421</v>
      </c>
      <c r="F9" s="10">
        <f>marketing!G9/revenue!B9</f>
        <v>4000</v>
      </c>
      <c r="G9" s="16">
        <f t="shared" si="1"/>
        <v>5000</v>
      </c>
      <c r="H9" s="16">
        <v>25260000</v>
      </c>
      <c r="I9" s="20">
        <v>0.75</v>
      </c>
      <c r="J9" s="20">
        <v>0.03</v>
      </c>
      <c r="K9">
        <f t="shared" si="2"/>
        <v>125000</v>
      </c>
      <c r="L9">
        <f t="shared" si="3"/>
        <v>31.25</v>
      </c>
    </row>
    <row r="10" spans="1:12" x14ac:dyDescent="0.3">
      <c r="A10" s="8">
        <v>45901</v>
      </c>
      <c r="B10" s="16">
        <f>revenue!D10</f>
        <v>2470000</v>
      </c>
      <c r="C10" s="16">
        <f>expenses!G10</f>
        <v>1230000</v>
      </c>
      <c r="D10" s="16">
        <f t="shared" si="0"/>
        <v>-1240000</v>
      </c>
      <c r="E10">
        <f>revenue!C10</f>
        <v>494</v>
      </c>
      <c r="F10" s="10">
        <f>marketing!G10/revenue!B10</f>
        <v>3913.0434782608695</v>
      </c>
      <c r="G10" s="16">
        <f t="shared" si="1"/>
        <v>5000</v>
      </c>
      <c r="H10" s="16">
        <v>29640000</v>
      </c>
      <c r="I10" s="20">
        <v>0.75</v>
      </c>
      <c r="J10" s="20">
        <v>0.03</v>
      </c>
      <c r="K10">
        <f t="shared" si="2"/>
        <v>125000</v>
      </c>
      <c r="L10">
        <f t="shared" si="3"/>
        <v>31.944444444444446</v>
      </c>
    </row>
    <row r="11" spans="1:12" x14ac:dyDescent="0.3">
      <c r="A11" s="8">
        <v>45931</v>
      </c>
      <c r="B11" s="16">
        <f>revenue!D11</f>
        <v>2835000</v>
      </c>
      <c r="C11" s="16">
        <f>expenses!G11</f>
        <v>1292000</v>
      </c>
      <c r="D11" s="16">
        <f t="shared" si="0"/>
        <v>-1543000</v>
      </c>
      <c r="E11">
        <f>revenue!C11</f>
        <v>567</v>
      </c>
      <c r="F11" s="10">
        <f>marketing!G11/revenue!B11</f>
        <v>3800</v>
      </c>
      <c r="G11" s="16">
        <f t="shared" si="1"/>
        <v>5000</v>
      </c>
      <c r="H11" s="16">
        <v>34020000</v>
      </c>
      <c r="I11" s="20">
        <v>0.75</v>
      </c>
      <c r="J11" s="20">
        <v>0.03</v>
      </c>
      <c r="K11">
        <f t="shared" si="2"/>
        <v>125000</v>
      </c>
      <c r="L11">
        <f t="shared" si="3"/>
        <v>32.89473684210526</v>
      </c>
    </row>
    <row r="12" spans="1:12" x14ac:dyDescent="0.3">
      <c r="A12" s="8">
        <v>45962</v>
      </c>
      <c r="B12" s="16">
        <f>revenue!D12</f>
        <v>3210000</v>
      </c>
      <c r="C12" s="16">
        <f>expenses!G12</f>
        <v>1355000</v>
      </c>
      <c r="D12" s="16">
        <f t="shared" si="0"/>
        <v>-1855000</v>
      </c>
      <c r="E12">
        <f>revenue!C12</f>
        <v>642</v>
      </c>
      <c r="F12" s="10">
        <f>marketing!G12/revenue!B12</f>
        <v>3703.7037037037039</v>
      </c>
      <c r="G12" s="16">
        <f t="shared" si="1"/>
        <v>5000</v>
      </c>
      <c r="H12" s="16">
        <v>38520000</v>
      </c>
      <c r="I12" s="20">
        <v>0.75</v>
      </c>
      <c r="J12" s="20">
        <v>0.03</v>
      </c>
      <c r="K12">
        <f t="shared" si="2"/>
        <v>125000</v>
      </c>
      <c r="L12">
        <f t="shared" si="3"/>
        <v>33.75</v>
      </c>
    </row>
    <row r="13" spans="1:12" x14ac:dyDescent="0.3">
      <c r="A13" s="8">
        <v>45992</v>
      </c>
      <c r="B13" s="16">
        <f>revenue!D13</f>
        <v>3550000</v>
      </c>
      <c r="C13" s="16">
        <f>expenses!G13</f>
        <v>1408000</v>
      </c>
      <c r="D13" s="16">
        <f t="shared" si="0"/>
        <v>-2142000</v>
      </c>
      <c r="E13">
        <f>revenue!C13</f>
        <v>710</v>
      </c>
      <c r="F13" s="10">
        <f>marketing!G13/revenue!B13</f>
        <v>3652.1739130434785</v>
      </c>
      <c r="G13" s="16">
        <f t="shared" si="1"/>
        <v>5000</v>
      </c>
      <c r="H13" s="16">
        <v>42600000</v>
      </c>
      <c r="I13" s="20">
        <v>0.75</v>
      </c>
      <c r="J13" s="20">
        <v>0.03</v>
      </c>
      <c r="K13">
        <f t="shared" si="2"/>
        <v>125000</v>
      </c>
      <c r="L13">
        <f t="shared" si="3"/>
        <v>34.226190476190474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2A18-A1AA-4507-8D30-DE64033A6B10}">
  <dimension ref="A1:M31"/>
  <sheetViews>
    <sheetView workbookViewId="0">
      <selection sqref="A1:XFD1"/>
    </sheetView>
  </sheetViews>
  <sheetFormatPr defaultRowHeight="14.4" x14ac:dyDescent="0.3"/>
  <cols>
    <col min="1" max="1" width="13.88671875" customWidth="1"/>
    <col min="6" max="7" width="8.88671875" customWidth="1"/>
  </cols>
  <sheetData>
    <row r="1" spans="1:13" s="1" customFormat="1" ht="28.8" x14ac:dyDescent="0.3">
      <c r="A1" s="18" t="s">
        <v>151</v>
      </c>
      <c r="B1" s="18" t="s">
        <v>152</v>
      </c>
      <c r="C1" s="18" t="s">
        <v>153</v>
      </c>
      <c r="D1" s="18" t="s">
        <v>154</v>
      </c>
      <c r="E1" s="18" t="s">
        <v>155</v>
      </c>
      <c r="F1" s="1" t="s">
        <v>156</v>
      </c>
      <c r="G1" s="1" t="s">
        <v>163</v>
      </c>
      <c r="H1" s="18" t="s">
        <v>157</v>
      </c>
      <c r="I1" s="1" t="s">
        <v>158</v>
      </c>
      <c r="J1" s="18" t="s">
        <v>159</v>
      </c>
      <c r="K1" s="18" t="s">
        <v>160</v>
      </c>
      <c r="L1" s="18" t="s">
        <v>161</v>
      </c>
      <c r="M1" s="18" t="s">
        <v>162</v>
      </c>
    </row>
    <row r="2" spans="1:13" x14ac:dyDescent="0.3">
      <c r="A2" s="9">
        <v>45658</v>
      </c>
      <c r="B2">
        <v>5</v>
      </c>
      <c r="C2">
        <v>5</v>
      </c>
      <c r="D2">
        <v>4</v>
      </c>
      <c r="E2">
        <v>4</v>
      </c>
      <c r="F2">
        <v>4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</row>
    <row r="3" spans="1:13" x14ac:dyDescent="0.3">
      <c r="A3" s="9">
        <v>45689</v>
      </c>
      <c r="B3">
        <v>5</v>
      </c>
      <c r="C3">
        <v>5</v>
      </c>
      <c r="D3">
        <v>5</v>
      </c>
      <c r="E3">
        <v>4</v>
      </c>
      <c r="F3">
        <v>4</v>
      </c>
      <c r="G3">
        <v>4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</row>
    <row r="4" spans="1:13" x14ac:dyDescent="0.3">
      <c r="A4" s="9">
        <v>45717</v>
      </c>
      <c r="B4">
        <v>7</v>
      </c>
      <c r="C4">
        <v>7</v>
      </c>
      <c r="D4">
        <v>6</v>
      </c>
      <c r="E4">
        <v>6</v>
      </c>
      <c r="F4">
        <v>5</v>
      </c>
      <c r="G4">
        <v>5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</row>
    <row r="5" spans="1:13" x14ac:dyDescent="0.3">
      <c r="A5" s="9">
        <v>45748</v>
      </c>
      <c r="B5">
        <v>8</v>
      </c>
      <c r="C5">
        <v>8</v>
      </c>
      <c r="D5">
        <v>7</v>
      </c>
      <c r="E5">
        <v>7</v>
      </c>
      <c r="F5">
        <v>6</v>
      </c>
      <c r="G5">
        <v>6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</row>
    <row r="6" spans="1:13" x14ac:dyDescent="0.3">
      <c r="A6" s="9">
        <v>45778</v>
      </c>
      <c r="B6">
        <v>9</v>
      </c>
      <c r="C6">
        <v>9</v>
      </c>
      <c r="D6">
        <v>8</v>
      </c>
      <c r="E6">
        <v>7</v>
      </c>
      <c r="F6">
        <v>7</v>
      </c>
      <c r="G6">
        <v>6</v>
      </c>
      <c r="H6">
        <v>6</v>
      </c>
      <c r="I6">
        <v>6</v>
      </c>
      <c r="J6">
        <v>5</v>
      </c>
      <c r="K6">
        <v>5</v>
      </c>
      <c r="L6">
        <v>5</v>
      </c>
      <c r="M6">
        <v>5</v>
      </c>
    </row>
    <row r="7" spans="1:13" x14ac:dyDescent="0.3">
      <c r="A7" s="8">
        <v>45809</v>
      </c>
      <c r="B7">
        <v>10</v>
      </c>
      <c r="C7">
        <v>10</v>
      </c>
      <c r="D7">
        <v>9</v>
      </c>
      <c r="E7">
        <v>8</v>
      </c>
      <c r="F7">
        <v>8</v>
      </c>
      <c r="G7">
        <v>7</v>
      </c>
      <c r="H7">
        <v>7</v>
      </c>
      <c r="I7">
        <v>6</v>
      </c>
      <c r="J7">
        <v>6</v>
      </c>
      <c r="K7">
        <v>6</v>
      </c>
      <c r="L7">
        <v>6</v>
      </c>
      <c r="M7">
        <v>6</v>
      </c>
    </row>
    <row r="8" spans="1:13" x14ac:dyDescent="0.3">
      <c r="A8" s="8">
        <v>45839</v>
      </c>
      <c r="B8">
        <v>10</v>
      </c>
      <c r="C8">
        <v>10</v>
      </c>
      <c r="D8">
        <v>9</v>
      </c>
      <c r="E8">
        <v>9</v>
      </c>
      <c r="F8">
        <v>8</v>
      </c>
      <c r="G8">
        <v>8</v>
      </c>
      <c r="H8">
        <v>7</v>
      </c>
      <c r="I8">
        <v>7</v>
      </c>
      <c r="J8">
        <v>7</v>
      </c>
      <c r="K8">
        <v>7</v>
      </c>
      <c r="L8">
        <v>7</v>
      </c>
      <c r="M8">
        <v>7</v>
      </c>
    </row>
    <row r="9" spans="1:13" x14ac:dyDescent="0.3">
      <c r="A9" s="8">
        <v>45870</v>
      </c>
      <c r="B9">
        <v>11</v>
      </c>
      <c r="C9">
        <v>11</v>
      </c>
      <c r="D9">
        <v>10</v>
      </c>
      <c r="E9">
        <v>9</v>
      </c>
      <c r="F9">
        <v>9</v>
      </c>
      <c r="G9">
        <v>8</v>
      </c>
      <c r="H9">
        <v>8</v>
      </c>
      <c r="I9">
        <v>8</v>
      </c>
      <c r="J9">
        <v>7</v>
      </c>
      <c r="K9">
        <v>7</v>
      </c>
      <c r="L9">
        <v>7</v>
      </c>
      <c r="M9">
        <v>7</v>
      </c>
    </row>
    <row r="10" spans="1:13" x14ac:dyDescent="0.3">
      <c r="A10" s="8">
        <v>45901</v>
      </c>
      <c r="B10">
        <v>10</v>
      </c>
      <c r="C10">
        <v>10</v>
      </c>
      <c r="D10">
        <v>9</v>
      </c>
      <c r="E10">
        <v>9</v>
      </c>
      <c r="F10">
        <v>8</v>
      </c>
      <c r="G10">
        <v>8</v>
      </c>
      <c r="H10">
        <v>7</v>
      </c>
      <c r="I10">
        <v>7</v>
      </c>
      <c r="J10">
        <v>7</v>
      </c>
      <c r="K10">
        <v>7</v>
      </c>
      <c r="L10">
        <v>7</v>
      </c>
      <c r="M10">
        <v>7</v>
      </c>
    </row>
    <row r="11" spans="1:13" x14ac:dyDescent="0.3">
      <c r="A11" s="8">
        <v>45931</v>
      </c>
      <c r="B11">
        <v>9</v>
      </c>
      <c r="C11">
        <v>9</v>
      </c>
      <c r="D11">
        <v>8</v>
      </c>
      <c r="E11">
        <v>8</v>
      </c>
      <c r="F11">
        <v>7</v>
      </c>
      <c r="G11">
        <v>7</v>
      </c>
      <c r="H11">
        <v>6</v>
      </c>
      <c r="I11">
        <v>6</v>
      </c>
      <c r="J11">
        <v>6</v>
      </c>
      <c r="K11">
        <v>6</v>
      </c>
      <c r="L11">
        <v>6</v>
      </c>
      <c r="M11">
        <v>6</v>
      </c>
    </row>
    <row r="12" spans="1:13" x14ac:dyDescent="0.3">
      <c r="A12" s="8">
        <v>45962</v>
      </c>
      <c r="B12">
        <v>11</v>
      </c>
      <c r="C12">
        <v>11</v>
      </c>
      <c r="D12">
        <v>10</v>
      </c>
      <c r="E12">
        <v>9</v>
      </c>
      <c r="F12">
        <v>9</v>
      </c>
      <c r="G12">
        <v>8</v>
      </c>
      <c r="H12">
        <v>8</v>
      </c>
      <c r="I12">
        <v>7</v>
      </c>
      <c r="J12">
        <v>7</v>
      </c>
      <c r="K12">
        <v>7</v>
      </c>
      <c r="L12">
        <v>7</v>
      </c>
      <c r="M12">
        <v>7</v>
      </c>
    </row>
    <row r="13" spans="1:13" x14ac:dyDescent="0.3">
      <c r="A13" s="8">
        <v>45992</v>
      </c>
      <c r="B13">
        <v>10</v>
      </c>
      <c r="C13">
        <v>10</v>
      </c>
      <c r="D13">
        <v>9</v>
      </c>
      <c r="E13">
        <v>8</v>
      </c>
      <c r="F13">
        <v>8</v>
      </c>
      <c r="G13">
        <v>7</v>
      </c>
      <c r="H13">
        <v>7</v>
      </c>
      <c r="I13">
        <v>6</v>
      </c>
      <c r="J13">
        <v>6</v>
      </c>
      <c r="K13">
        <v>5</v>
      </c>
      <c r="L13">
        <v>5</v>
      </c>
      <c r="M13">
        <v>5</v>
      </c>
    </row>
    <row r="20" spans="1:1" x14ac:dyDescent="0.3">
      <c r="A20" s="8"/>
    </row>
    <row r="21" spans="1:1" x14ac:dyDescent="0.3">
      <c r="A21" s="8"/>
    </row>
    <row r="22" spans="1:1" x14ac:dyDescent="0.3">
      <c r="A22" s="8"/>
    </row>
    <row r="23" spans="1:1" x14ac:dyDescent="0.3">
      <c r="A23" s="8"/>
    </row>
    <row r="24" spans="1:1" x14ac:dyDescent="0.3">
      <c r="A24" s="8"/>
    </row>
    <row r="25" spans="1:1" x14ac:dyDescent="0.3">
      <c r="A25" s="8"/>
    </row>
    <row r="26" spans="1:1" x14ac:dyDescent="0.3">
      <c r="A26" s="8"/>
    </row>
    <row r="27" spans="1:1" x14ac:dyDescent="0.3">
      <c r="A27" s="8"/>
    </row>
    <row r="28" spans="1:1" x14ac:dyDescent="0.3">
      <c r="A28" s="8"/>
    </row>
    <row r="29" spans="1:1" x14ac:dyDescent="0.3">
      <c r="A29" s="8"/>
    </row>
    <row r="30" spans="1:1" x14ac:dyDescent="0.3">
      <c r="A30" s="8"/>
    </row>
    <row r="31" spans="1:1" x14ac:dyDescent="0.3">
      <c r="A3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revenue</vt:lpstr>
      <vt:lpstr>expenses</vt:lpstr>
      <vt:lpstr>marketing</vt:lpstr>
      <vt:lpstr>KPI_cal</vt:lpstr>
      <vt:lpstr>cohort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K</dc:creator>
  <cp:lastModifiedBy>Swetha K</cp:lastModifiedBy>
  <dcterms:created xsi:type="dcterms:W3CDTF">2026-09-01T18:18:53Z</dcterms:created>
  <dcterms:modified xsi:type="dcterms:W3CDTF">2026-09-03T07:33:39Z</dcterms:modified>
</cp:coreProperties>
</file>